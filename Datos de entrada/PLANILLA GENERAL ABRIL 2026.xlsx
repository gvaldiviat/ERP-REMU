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embranteccl.sharepoint.com/sites/rrll/Documentos compartidos/Remuneraciones/Planillas mensuales/Planillas 2026/"/>
    </mc:Choice>
  </mc:AlternateContent>
  <xr:revisionPtr revIDLastSave="456" documentId="8_{7FA096AC-F1BE-4C58-8F4B-E8DE57DCE0EE}" xr6:coauthVersionLast="47" xr6:coauthVersionMax="47" xr10:uidLastSave="{657660F0-9FF6-4CD8-A737-B6DF7E89CA8B}"/>
  <bookViews>
    <workbookView xWindow="-108" yWindow="-108" windowWidth="23256" windowHeight="12576" xr2:uid="{8C88FCE7-06EB-4AC0-BB77-4FE5643521A6}"/>
  </bookViews>
  <sheets>
    <sheet name="PLANILLA GENERAL ABRIL 2026" sheetId="6" r:id="rId1"/>
    <sheet name="LOS HEROES" sheetId="8" r:id="rId2"/>
    <sheet name="LA ARAUCANA" sheetId="7" r:id="rId3"/>
    <sheet name="SEGURO" sheetId="9" r:id="rId4"/>
    <sheet name="FALP" sheetId="10" r:id="rId5"/>
    <sheet name="04_2026_OF" sheetId="5" r:id="rId6"/>
    <sheet name="04_2026_Techint-RT" sheetId="4" r:id="rId7"/>
    <sheet name="04_2026_Caserones" sheetId="3" r:id="rId8"/>
    <sheet name="04_2026_Acciona" sheetId="2" r:id="rId9"/>
    <sheet name="Hoja1" sheetId="1" r:id="rId10"/>
  </sheets>
  <definedNames>
    <definedName name="DatosExternos_1" localSheetId="8" hidden="1">'04_2026_Acciona'!$A$1:$CL$101</definedName>
    <definedName name="DatosExternos_2" localSheetId="7" hidden="1">'04_2026_Caserones'!$A$1:$CL$29</definedName>
    <definedName name="DatosExternos_3" localSheetId="6" hidden="1">'04_2026_Techint-RT'!$A$1:$CL$47</definedName>
    <definedName name="DatosExternos_4" localSheetId="5" hidden="1">'04_2026_OF'!$A$1:$CL$29</definedName>
    <definedName name="DatosExternos_5" localSheetId="0" hidden="1">'PLANILLA GENERAL ABRIL 2026'!$A$1:$CL$203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R15" i="6" l="1"/>
  <c r="CR23" i="6"/>
  <c r="CR26" i="6"/>
  <c r="CR29" i="6"/>
  <c r="CR46" i="6"/>
  <c r="CR51" i="6"/>
  <c r="CR57" i="6"/>
  <c r="CR74" i="6"/>
  <c r="CR81" i="6"/>
  <c r="CR103" i="6"/>
  <c r="CR105" i="6"/>
  <c r="CQ2" i="6"/>
  <c r="CQ4" i="6"/>
  <c r="CQ5" i="6"/>
  <c r="CQ15" i="6"/>
  <c r="CQ18" i="6"/>
  <c r="CQ23" i="6"/>
  <c r="CQ24" i="6"/>
  <c r="CQ26" i="6"/>
  <c r="CQ29" i="6"/>
  <c r="CQ45" i="6"/>
  <c r="CQ46" i="6"/>
  <c r="CQ50" i="6"/>
  <c r="CQ51" i="6"/>
  <c r="CQ56" i="6"/>
  <c r="CQ57" i="6"/>
  <c r="CQ59" i="6"/>
  <c r="CQ62" i="6"/>
  <c r="CQ68" i="6"/>
  <c r="CQ74" i="6"/>
  <c r="CQ75" i="6"/>
  <c r="CQ81" i="6"/>
  <c r="CQ85" i="6"/>
  <c r="CQ98" i="6"/>
  <c r="CQ103" i="6"/>
  <c r="CQ105" i="6"/>
  <c r="CQ122" i="6"/>
  <c r="CP43" i="6"/>
  <c r="CP80" i="6"/>
  <c r="CO5" i="6"/>
  <c r="CO7" i="6"/>
  <c r="CO20" i="6"/>
  <c r="CO23" i="6"/>
  <c r="CO24" i="6"/>
  <c r="CO34" i="6"/>
  <c r="CO41" i="6"/>
  <c r="CO58" i="6"/>
  <c r="CO67" i="6"/>
  <c r="CO68" i="6"/>
  <c r="CO77" i="6"/>
  <c r="CO88" i="6"/>
  <c r="CO98" i="6"/>
  <c r="CO105" i="6"/>
  <c r="CO126" i="6"/>
  <c r="CO127" i="6"/>
  <c r="CO134" i="6"/>
  <c r="CO151" i="6"/>
  <c r="CO166" i="6"/>
  <c r="CO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0FEAB4-C720-425D-8F14-FB0293F63EBC}" keepAlive="1" name="Consulta - 04_2026_Acciona" description="Conexión a la consulta '04_2026_Acciona' en el libro." type="5" refreshedVersion="8" background="1" saveData="1">
    <dbPr connection="Provider=Microsoft.Mashup.OleDb.1;Data Source=$Workbook$;Location=04_2026_Acciona;Extended Properties=&quot;&quot;" command="SELECT * FROM [04_2026_Acciona]"/>
  </connection>
  <connection id="2" xr16:uid="{16BEA8A7-3A87-4B70-920A-93403140EC69}" keepAlive="1" name="Consulta - 04_2026_Caserones" description="Conexión a la consulta '04_2026_Caserones' en el libro." type="5" refreshedVersion="8" background="1" saveData="1">
    <dbPr connection="Provider=Microsoft.Mashup.OleDb.1;Data Source=$Workbook$;Location=04_2026_Caserones;Extended Properties=&quot;&quot;" command="SELECT * FROM [04_2026_Caserones]"/>
  </connection>
  <connection id="3" xr16:uid="{E6568CAA-7656-47FC-8465-628E096BA2BC}" keepAlive="1" name="Consulta - 04_2026_OF" description="Conexión a la consulta '04_2026_OF' en el libro." type="5" refreshedVersion="8" background="1" saveData="1">
    <dbPr connection="Provider=Microsoft.Mashup.OleDb.1;Data Source=$Workbook$;Location=04_2026_OF;Extended Properties=&quot;&quot;" command="SELECT * FROM [04_2026_OF]"/>
  </connection>
  <connection id="4" xr16:uid="{3B92D396-5729-48CD-ADD0-04DC21B2053E}" keepAlive="1" name="Consulta - 04_2026_Techint-RT" description="Conexión a la consulta '04_2026_Techint-RT' en el libro." type="5" refreshedVersion="8" background="1" saveData="1">
    <dbPr connection="Provider=Microsoft.Mashup.OleDb.1;Data Source=$Workbook$;Location=04_2026_Techint-RT;Extended Properties=&quot;&quot;" command="SELECT * FROM [04_2026_Techint-RT]"/>
  </connection>
  <connection id="5" xr16:uid="{03591516-A9C2-4269-A70D-A1DD2EF71B6A}" keepAlive="1" name="Consulta - Anexar1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</connections>
</file>

<file path=xl/sharedStrings.xml><?xml version="1.0" encoding="utf-8"?>
<sst xmlns="http://schemas.openxmlformats.org/spreadsheetml/2006/main" count="3948" uniqueCount="957">
  <si>
    <t>Índice</t>
  </si>
  <si>
    <t>RUT (sin puntos y con guion)</t>
  </si>
  <si>
    <t>ID (rut sin puntos, sin guión ni digito vertificador)</t>
  </si>
  <si>
    <t>APELLIDO PATERNO</t>
  </si>
  <si>
    <t>APELLIDO MATERNO</t>
  </si>
  <si>
    <t>NOMBRES</t>
  </si>
  <si>
    <t>CARGO</t>
  </si>
  <si>
    <t>INICIO DE CONTRATO</t>
  </si>
  <si>
    <t>D/I</t>
  </si>
  <si>
    <t>GENERO M/F</t>
  </si>
  <si>
    <t>TURNO (5x2-4x3-14x14 -art22)</t>
  </si>
  <si>
    <t>CC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</si>
  <si>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</si>
  <si>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</si>
  <si>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</si>
  <si>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</si>
  <si>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</si>
  <si>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</si>
  <si>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</si>
  <si>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</si>
  <si>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</si>
  <si>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</si>
  <si>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</si>
  <si>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</si>
  <si>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</si>
  <si>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</si>
  <si>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</si>
  <si>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</si>
  <si>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</si>
  <si>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</si>
  <si>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</si>
  <si>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</si>
  <si>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</si>
  <si>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</si>
  <si>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</si>
  <si>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</si>
  <si>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</si>
  <si>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</si>
  <si>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</si>
  <si>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</si>
  <si>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</si>
  <si>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</si>
  <si>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</si>
  <si>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</si>
  <si>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</si>
  <si>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</si>
  <si>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</si>
  <si>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</si>
  <si>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</si>
  <si>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</si>
  <si>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</si>
  <si>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</si>
  <si>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T.D.T.</t>
  </si>
  <si>
    <t>1033-Bono Gestión Variable</t>
  </si>
  <si>
    <t>1029-Bono Compensatorio descanso</t>
  </si>
  <si>
    <t>Justificación Bono 10-29 (Compensatorio descanso)</t>
  </si>
  <si>
    <t>1034-Bono Incentivo variable</t>
  </si>
  <si>
    <t>Justificación Bono 1034 (Incentivo variable)</t>
  </si>
  <si>
    <t>1140-Bono Responsabilidad 2</t>
  </si>
  <si>
    <t>Justificación 1140 (Bono Responsabilidad)</t>
  </si>
  <si>
    <t>1041-Bono Terreno (Exclusivo proyecto Techint-CMDIC)</t>
  </si>
  <si>
    <t>1031-Bono Escolaridad I/T (Uso exclusivo Area de Compensaciones)</t>
  </si>
  <si>
    <t>1092-Diferencia de haber</t>
  </si>
  <si>
    <t>Justificación Bono 1092 (Diferencia de Haber)</t>
  </si>
  <si>
    <t>Cantidad de feriados del mes</t>
  </si>
  <si>
    <t>1082-Bono Compens. Feriado</t>
  </si>
  <si>
    <t>1020-Aguinaldo I/T</t>
  </si>
  <si>
    <t>1140-Bono de Permanencia (Plan de Beneficios)</t>
  </si>
  <si>
    <t>Bono Seguridad BESALCO-MEL</t>
  </si>
  <si>
    <t>Bono Q1 (Exclusivo Collahuasi)</t>
  </si>
  <si>
    <t>Bono Q2 (Exclusivo Collahuasi)</t>
  </si>
  <si>
    <t>Bono Q3 (Exclusivo Collahuasi)</t>
  </si>
  <si>
    <t>Bono Q4 (Exclusivo Collahuasi)</t>
  </si>
  <si>
    <t>Bono RSA (Exclusivo Collahuasi)</t>
  </si>
  <si>
    <t>1044-Asignación Colación</t>
  </si>
  <si>
    <t>Justificación Asignacion Colacion</t>
  </si>
  <si>
    <t>1165-Asignación Movilización 2</t>
  </si>
  <si>
    <t>Justificación Asignación Movilización 2</t>
  </si>
  <si>
    <t>1172-Viatico 2</t>
  </si>
  <si>
    <t>Justificación Viatico</t>
  </si>
  <si>
    <t>SALA CUNA</t>
  </si>
  <si>
    <t>Justificaciión de Asignación (Detalle del beneficio)</t>
  </si>
  <si>
    <t>1032-Bono Escolaridad N/I</t>
  </si>
  <si>
    <t>1124-Asignación familiar Retroactiva</t>
  </si>
  <si>
    <t>Descuento por aporte voluntario</t>
  </si>
  <si>
    <t>Observaciones generales</t>
  </si>
  <si>
    <t>ACUERDO MARCO ACCIONA-CODELCO</t>
  </si>
  <si>
    <t>GRATIFICACION ACUERD MARCO ACCIONA-CODELCO2</t>
  </si>
  <si>
    <t>DIAS ADICIONALES CHIQUICAMATA</t>
  </si>
  <si>
    <t xml:space="preserve"> BONO PARTICIPACION CHIQUI</t>
  </si>
  <si>
    <t>RETENCION JUDICIAL</t>
  </si>
  <si>
    <t>PRESTAMO EMPRESA</t>
  </si>
  <si>
    <t>LOS HEROES</t>
  </si>
  <si>
    <t>LA ARAUCANA</t>
  </si>
  <si>
    <t>SEGURO</t>
  </si>
  <si>
    <t>FALP</t>
  </si>
  <si>
    <t>7365743-1</t>
  </si>
  <si>
    <t>BONE</t>
  </si>
  <si>
    <t>SANTIS</t>
  </si>
  <si>
    <t>CARLOS ALBERTO</t>
  </si>
  <si>
    <t>GERENTE GENERAL</t>
  </si>
  <si>
    <t>I</t>
  </si>
  <si>
    <t>M</t>
  </si>
  <si>
    <t>5X2</t>
  </si>
  <si>
    <t>9187205-6</t>
  </si>
  <si>
    <t xml:space="preserve">HERRERA </t>
  </si>
  <si>
    <t xml:space="preserve">VERA </t>
  </si>
  <si>
    <t xml:space="preserve">OSCAR CRISTIAN </t>
  </si>
  <si>
    <t>GERENTE DE PROYECTOS</t>
  </si>
  <si>
    <t>4X3</t>
  </si>
  <si>
    <t>Bono para llegar a sueldo pactado</t>
  </si>
  <si>
    <t>9205219-2</t>
  </si>
  <si>
    <t>JOGLAR</t>
  </si>
  <si>
    <t>ZAMBRANA</t>
  </si>
  <si>
    <t>ADOLFO</t>
  </si>
  <si>
    <t>GERENTE GESTION PERSONAS</t>
  </si>
  <si>
    <t>9430404-0</t>
  </si>
  <si>
    <t>BARRIA</t>
  </si>
  <si>
    <t>BARRIENTOS</t>
  </si>
  <si>
    <t>HARRY  ISMAEL</t>
  </si>
  <si>
    <t>ENCARGADO TALLER MANTENCION</t>
  </si>
  <si>
    <t>Viatico para traslado terminal buses oficina (4 am)</t>
  </si>
  <si>
    <t>9460969-0</t>
  </si>
  <si>
    <t xml:space="preserve">ARANDA </t>
  </si>
  <si>
    <t xml:space="preserve">CAQUEO </t>
  </si>
  <si>
    <t>LUIS ALFONSO</t>
  </si>
  <si>
    <t>EXPEDITOR</t>
  </si>
  <si>
    <t>A</t>
  </si>
  <si>
    <t>Corresponde a dia pend. Cambio jornada 4x3 transición.</t>
  </si>
  <si>
    <t>para ajustar sueldo pactado  a 1.700.000.-</t>
  </si>
  <si>
    <t>9717041-K</t>
  </si>
  <si>
    <t>OLIVARES</t>
  </si>
  <si>
    <t>DIAZ</t>
  </si>
  <si>
    <t>GONZALO LUIS</t>
  </si>
  <si>
    <t>ENCARGADO DE COMPRAS Y ABASTECIMIENTO</t>
  </si>
  <si>
    <t>9809267-6</t>
  </si>
  <si>
    <t>ANGEL</t>
  </si>
  <si>
    <t>GOMEZ</t>
  </si>
  <si>
    <t>SERGIO ERNESTO</t>
  </si>
  <si>
    <t xml:space="preserve">AYUDANTE GEOSINTETICOS </t>
  </si>
  <si>
    <t>D</t>
  </si>
  <si>
    <t>7X7</t>
  </si>
  <si>
    <t>9850740-k</t>
  </si>
  <si>
    <t>ARAYA</t>
  </si>
  <si>
    <t>TELLO</t>
  </si>
  <si>
    <t>JABIEL NICANOR</t>
  </si>
  <si>
    <t>MAESTRO PRIMERA GEOSINTETICOS</t>
  </si>
  <si>
    <t>14X14 B</t>
  </si>
  <si>
    <t>DESCANSO PENDIENTE POR CIERRE LABORAL AL 30-04-2026</t>
  </si>
  <si>
    <t>9912965-4</t>
  </si>
  <si>
    <t>PEREZ</t>
  </si>
  <si>
    <t>OSSANDON</t>
  </si>
  <si>
    <t>ORIEL EDUARDO</t>
  </si>
  <si>
    <t>SUPERVISOR CONTROL CALIDAD</t>
  </si>
  <si>
    <t>Bono complemento sueldo</t>
  </si>
  <si>
    <t>CENTRO DE COSTO (SIN FAENA)</t>
  </si>
  <si>
    <t>10147391-0</t>
  </si>
  <si>
    <t>SEGOVIA</t>
  </si>
  <si>
    <t>GUERRA</t>
  </si>
  <si>
    <t>PEDRO ENRIQUE</t>
  </si>
  <si>
    <t>AYUDANTE GEOSINTETICOS</t>
  </si>
  <si>
    <t>10192082-8</t>
  </si>
  <si>
    <t>GUERRERO</t>
  </si>
  <si>
    <t>LUIS HUMBERTO</t>
  </si>
  <si>
    <t>10420797-9</t>
  </si>
  <si>
    <t>IRRIBARRA</t>
  </si>
  <si>
    <t>PEÑA</t>
  </si>
  <si>
    <t>HECTOR LEONIDAS</t>
  </si>
  <si>
    <t>JEFE RECURSOS HUMANOS PROYECTO</t>
  </si>
  <si>
    <t>PAGO TRASLADO ALIMENTACION DIC-ENERO-ESPAÑA A TOKY EN EFECTIVO</t>
  </si>
  <si>
    <t>10603186-K</t>
  </si>
  <si>
    <t>LEON</t>
  </si>
  <si>
    <t>OLEA</t>
  </si>
  <si>
    <t>JAIME ANTONIO</t>
  </si>
  <si>
    <t>TECNICO RECURSOS HUMANOS PROYECTO</t>
  </si>
  <si>
    <t>Realizar actividades de ADMIN. CAMPAMENTO</t>
  </si>
  <si>
    <t>10675506-K</t>
  </si>
  <si>
    <t>CAMPILLAI</t>
  </si>
  <si>
    <t>NAVARRO</t>
  </si>
  <si>
    <t>VICTOR JAVIER</t>
  </si>
  <si>
    <t>JEFE DE UNIDAD LOGISTICA</t>
  </si>
  <si>
    <t>10742396-6</t>
  </si>
  <si>
    <t xml:space="preserve">ALFARO </t>
  </si>
  <si>
    <t>CAMPUSANO</t>
  </si>
  <si>
    <t>EDUARDO ENRIQUE</t>
  </si>
  <si>
    <t>10957493-7</t>
  </si>
  <si>
    <t xml:space="preserve">GONZALEZ </t>
  </si>
  <si>
    <t>QUINZACARA</t>
  </si>
  <si>
    <t xml:space="preserve">LUIS ARNOLDO </t>
  </si>
  <si>
    <t>CAPATAZ GEOSINTETICOS</t>
  </si>
  <si>
    <t>B</t>
  </si>
  <si>
    <t>11265430-5</t>
  </si>
  <si>
    <t xml:space="preserve">FAUNDEZ </t>
  </si>
  <si>
    <t xml:space="preserve">ORTIZ </t>
  </si>
  <si>
    <t xml:space="preserve">CESAR HERNAN </t>
  </si>
  <si>
    <t>TOPÓGRAFO - NIVELADOR</t>
  </si>
  <si>
    <t>4x3</t>
  </si>
  <si>
    <t>Bono asignacion de obra</t>
  </si>
  <si>
    <t>11387365-5</t>
  </si>
  <si>
    <t>JOHNSON</t>
  </si>
  <si>
    <t>SUAZO</t>
  </si>
  <si>
    <t>CRISTIAN BENJAMIN</t>
  </si>
  <si>
    <t>CONDUCTOR SERVICIO</t>
  </si>
  <si>
    <t>11511458-1</t>
  </si>
  <si>
    <t>ASTUDILLO</t>
  </si>
  <si>
    <t>FRE</t>
  </si>
  <si>
    <t>JUAN LUIS</t>
  </si>
  <si>
    <t xml:space="preserve">MAESTRO SEGUNDA GEOSINTETICOS </t>
  </si>
  <si>
    <t>14x14 A</t>
  </si>
  <si>
    <t>11734191-7</t>
  </si>
  <si>
    <t xml:space="preserve">TORRES </t>
  </si>
  <si>
    <t>LOPEZ</t>
  </si>
  <si>
    <t xml:space="preserve">LUIS EDUARDO </t>
  </si>
  <si>
    <t>OPERADOR CAMIÓN PLUMA</t>
  </si>
  <si>
    <t>11820207-4</t>
  </si>
  <si>
    <t>MIRANDA</t>
  </si>
  <si>
    <t>CACERES</t>
  </si>
  <si>
    <t>HECTOR ANTONIO</t>
  </si>
  <si>
    <t>1 DIA ADICIONAL POR COUCHING EN ANTOFAGASTA</t>
  </si>
  <si>
    <t>11876153-7</t>
  </si>
  <si>
    <t>HERNANDEZ</t>
  </si>
  <si>
    <t>DE LA FUENTE</t>
  </si>
  <si>
    <t>FERNANDO HIPOLITO</t>
  </si>
  <si>
    <t>SUPERVISRO VISITADOR E INSTRUCTOR</t>
  </si>
  <si>
    <t>11922653-8</t>
  </si>
  <si>
    <t>ANDRADE</t>
  </si>
  <si>
    <t>CASTRO</t>
  </si>
  <si>
    <t>LUIS BERNARDO</t>
  </si>
  <si>
    <t>ENCARGADO DE MANTENCION</t>
  </si>
  <si>
    <t>12038137-7</t>
  </si>
  <si>
    <t>CORTES</t>
  </si>
  <si>
    <t>LÓPEZ</t>
  </si>
  <si>
    <t>MARCELO ANTONIO</t>
  </si>
  <si>
    <t>MAESTRO SEGUNDA GEOSINTETICOS</t>
  </si>
  <si>
    <t>12227004-1</t>
  </si>
  <si>
    <t>NARVAEZ</t>
  </si>
  <si>
    <t>ALDO IVAN</t>
  </si>
  <si>
    <t>SUBGERENTE TECNICO</t>
  </si>
  <si>
    <t>Bono ajuste liquido pactado</t>
  </si>
  <si>
    <t>12397806-4</t>
  </si>
  <si>
    <t xml:space="preserve">RAMIREZ </t>
  </si>
  <si>
    <t>ORTEGA</t>
  </si>
  <si>
    <t>JUAN SIMON</t>
  </si>
  <si>
    <t>14X14 A</t>
  </si>
  <si>
    <t>12443848-9</t>
  </si>
  <si>
    <t xml:space="preserve">MEDALLA </t>
  </si>
  <si>
    <t>CASTILLO</t>
  </si>
  <si>
    <t>MANUEL SEGUNDO</t>
  </si>
  <si>
    <t>12487485-8</t>
  </si>
  <si>
    <t>SILVA</t>
  </si>
  <si>
    <t>BOCK</t>
  </si>
  <si>
    <t>DANIELA VIVIAN</t>
  </si>
  <si>
    <t>JEFE UNIDAD COMPENSACIONES</t>
  </si>
  <si>
    <t>F</t>
  </si>
  <si>
    <t>12543039-2</t>
  </si>
  <si>
    <t xml:space="preserve">AVILA </t>
  </si>
  <si>
    <t>LINEROS</t>
  </si>
  <si>
    <t>AUDIAS ABDENEGO</t>
  </si>
  <si>
    <t>12572374-8</t>
  </si>
  <si>
    <t>CARVAJAL</t>
  </si>
  <si>
    <t>ALBERTO HERNAN</t>
  </si>
  <si>
    <t>12612919-k</t>
  </si>
  <si>
    <t>HERRERA</t>
  </si>
  <si>
    <t xml:space="preserve">CORTES </t>
  </si>
  <si>
    <t xml:space="preserve">JUVENAL HUMBERTO </t>
  </si>
  <si>
    <t>12807347-7</t>
  </si>
  <si>
    <t>MONARDES</t>
  </si>
  <si>
    <t>PABLO ANTONIO</t>
  </si>
  <si>
    <t>12943659-K</t>
  </si>
  <si>
    <t>SANTANDER</t>
  </si>
  <si>
    <t>CARLOS LUIS</t>
  </si>
  <si>
    <t xml:space="preserve">SUPERVISOR GEOSINTETICOS </t>
  </si>
  <si>
    <t>14x14 B</t>
  </si>
  <si>
    <t>Bono acuerdo salarial</t>
  </si>
  <si>
    <t>12953191-6</t>
  </si>
  <si>
    <t xml:space="preserve">ARELLANO </t>
  </si>
  <si>
    <t>ARRIAZA</t>
  </si>
  <si>
    <t>MARCO ANTONIO</t>
  </si>
  <si>
    <t xml:space="preserve">TECNICO RRHH PROYECTO </t>
  </si>
  <si>
    <t>14x14 D</t>
  </si>
  <si>
    <t>13012039-3</t>
  </si>
  <si>
    <t>LOBOS</t>
  </si>
  <si>
    <t>PIZARRO</t>
  </si>
  <si>
    <t>JORGE HUMBERTO</t>
  </si>
  <si>
    <t>JEFE CONTROL DE CALIDAD</t>
  </si>
  <si>
    <t>13076470-3</t>
  </si>
  <si>
    <t xml:space="preserve">REHBEIN </t>
  </si>
  <si>
    <t>GANTES</t>
  </si>
  <si>
    <t xml:space="preserve">ANTONIO ALEJANDRO </t>
  </si>
  <si>
    <t>JEFE DE TERRENO</t>
  </si>
  <si>
    <t>Bono ajuste salarial</t>
  </si>
  <si>
    <t>13172993-6</t>
  </si>
  <si>
    <t>GODOY</t>
  </si>
  <si>
    <t>SANDRA ROSARIO</t>
  </si>
  <si>
    <t>ADMINISTRATIVO OFICINA TECNICA</t>
  </si>
  <si>
    <t>13174740-3</t>
  </si>
  <si>
    <t>ROJAS</t>
  </si>
  <si>
    <t>GERALDO</t>
  </si>
  <si>
    <t>EUGENIO DAVID</t>
  </si>
  <si>
    <t>13179077-5</t>
  </si>
  <si>
    <t>GARCÍA</t>
  </si>
  <si>
    <t>PEDRO FREDDY</t>
  </si>
  <si>
    <t>JEFE PREVENCION DE RIESGOS</t>
  </si>
  <si>
    <t>DIA ADICIONAL PENDIENTE POR REEMPLAZO DE APR (M. IBARRA)</t>
  </si>
  <si>
    <t>13205525-4</t>
  </si>
  <si>
    <t>ORTIZ</t>
  </si>
  <si>
    <t>MEDEL</t>
  </si>
  <si>
    <t>SEBASTIAN DEL CARMEN</t>
  </si>
  <si>
    <t>CONDUCTOR CAMION RAMPA</t>
  </si>
  <si>
    <t>13218666-9</t>
  </si>
  <si>
    <t>OYARCE</t>
  </si>
  <si>
    <t>LUIS RICARDO</t>
  </si>
  <si>
    <t>TECNICO CONTROL CALIDAD</t>
  </si>
  <si>
    <t>13327527-4</t>
  </si>
  <si>
    <t>POBLETE</t>
  </si>
  <si>
    <t>GALLARDO</t>
  </si>
  <si>
    <t>VICTOR ANTONIO</t>
  </si>
  <si>
    <t>Bono asignación de obra</t>
  </si>
  <si>
    <t>13330676-5</t>
  </si>
  <si>
    <t xml:space="preserve">VEGA </t>
  </si>
  <si>
    <t>JIMENEZ</t>
  </si>
  <si>
    <t>JUAN CARLOS</t>
  </si>
  <si>
    <t>13419327-1</t>
  </si>
  <si>
    <t xml:space="preserve">MERCADO </t>
  </si>
  <si>
    <t xml:space="preserve">MARCO ANTONIO </t>
  </si>
  <si>
    <t>13531208-8</t>
  </si>
  <si>
    <t xml:space="preserve">ARAYA </t>
  </si>
  <si>
    <t xml:space="preserve">REYES </t>
  </si>
  <si>
    <t>JEFE PREVENCIÓN DE RIESGOS</t>
  </si>
  <si>
    <t>Bono para llegar a monto asignado</t>
  </si>
  <si>
    <t>13534540-7</t>
  </si>
  <si>
    <t>TORO</t>
  </si>
  <si>
    <t>VARAS</t>
  </si>
  <si>
    <t>JORGE ARMANDO</t>
  </si>
  <si>
    <t>13632515-9</t>
  </si>
  <si>
    <t>CLARK</t>
  </si>
  <si>
    <t>ALFARO</t>
  </si>
  <si>
    <t>MAURICIO ANDRES</t>
  </si>
  <si>
    <t>13640892-5</t>
  </si>
  <si>
    <t>MUÑOZ</t>
  </si>
  <si>
    <t xml:space="preserve">ANIBAL JOSE </t>
  </si>
  <si>
    <t>JEFE RRHH PROYECTO</t>
  </si>
  <si>
    <t>1 DIA ADICIONAL POR TRABAJOS DE AUDITORIA Y CIERRE MES FUERA TURNO</t>
  </si>
  <si>
    <t>13702938-3</t>
  </si>
  <si>
    <t xml:space="preserve">VICTOR ANDRES </t>
  </si>
  <si>
    <t>13904453-3</t>
  </si>
  <si>
    <t>ESTEBAN</t>
  </si>
  <si>
    <t>GERENTE DE PLANIFICACION Y CONTROL</t>
  </si>
  <si>
    <t>13975512-k</t>
  </si>
  <si>
    <t xml:space="preserve">BRUNA </t>
  </si>
  <si>
    <t>13976044-1</t>
  </si>
  <si>
    <t xml:space="preserve">VALENZUELA </t>
  </si>
  <si>
    <t>RODRIGO ANTONIO</t>
  </si>
  <si>
    <t xml:space="preserve">MAESTRO PRIMERA GEOSINTETICOS </t>
  </si>
  <si>
    <t>13976656-3</t>
  </si>
  <si>
    <t>HUGO ALFONSO</t>
  </si>
  <si>
    <t>MAESTRO PRIMERA GEOSINTETICO</t>
  </si>
  <si>
    <t>14016056-3</t>
  </si>
  <si>
    <t>VALDIVIA</t>
  </si>
  <si>
    <t>TORRES</t>
  </si>
  <si>
    <t>GONZALO EDUARDO</t>
  </si>
  <si>
    <t>GENERALISTA GESTION PERSONAS</t>
  </si>
  <si>
    <t>14113613-5</t>
  </si>
  <si>
    <t>BARRIOS</t>
  </si>
  <si>
    <t>ACUÑA</t>
  </si>
  <si>
    <t>NELSON ENRIQUE</t>
  </si>
  <si>
    <t>JEFE GESTION PERSONAS</t>
  </si>
  <si>
    <t>14129064-9</t>
  </si>
  <si>
    <t>BASOALTO</t>
  </si>
  <si>
    <t>ANDRES EDUARDO</t>
  </si>
  <si>
    <t>SUBGERENTE DE CONTABILIDAD Y FINANZAS</t>
  </si>
  <si>
    <t>14296775-8</t>
  </si>
  <si>
    <t>HINAREJO</t>
  </si>
  <si>
    <t xml:space="preserve">ALEXIS RODRIGO </t>
  </si>
  <si>
    <t>14309302-6</t>
  </si>
  <si>
    <t>GARAY</t>
  </si>
  <si>
    <t>IVAN DARIO</t>
  </si>
  <si>
    <t>1 DIA ADICIONAL POR APOYO EN DESMOVILIZACION</t>
  </si>
  <si>
    <t>14456911-3</t>
  </si>
  <si>
    <t>ACEVEDO</t>
  </si>
  <si>
    <t>ZAMBRANO</t>
  </si>
  <si>
    <t>LUIS MARCELINO</t>
  </si>
  <si>
    <t>Acurdo departamento</t>
  </si>
  <si>
    <t>15012307-0</t>
  </si>
  <si>
    <t>YAÑEZ</t>
  </si>
  <si>
    <t>VELIZ</t>
  </si>
  <si>
    <t>JORGE ANDRES</t>
  </si>
  <si>
    <t>15018611-0</t>
  </si>
  <si>
    <t>YAPOR</t>
  </si>
  <si>
    <t>SUBGERENTE CONTRATOS Y SERVICIOS</t>
  </si>
  <si>
    <t>Gastos aseo depa</t>
  </si>
  <si>
    <t>15033526-4</t>
  </si>
  <si>
    <t xml:space="preserve">VILLEGAS </t>
  </si>
  <si>
    <t>SANTIBAÑEZ</t>
  </si>
  <si>
    <t>HERMAN ALEXIS</t>
  </si>
  <si>
    <t>15036703-4</t>
  </si>
  <si>
    <t>RIVERA</t>
  </si>
  <si>
    <t>JORGE NIBALDO</t>
  </si>
  <si>
    <t>15043166-2</t>
  </si>
  <si>
    <t>PEREIRA</t>
  </si>
  <si>
    <t>HUGO SALATIER</t>
  </si>
  <si>
    <t>15043532-3</t>
  </si>
  <si>
    <t xml:space="preserve">MUÑOZ </t>
  </si>
  <si>
    <t>BUGUEÑO</t>
  </si>
  <si>
    <t>AGUSTIN EDGARD</t>
  </si>
  <si>
    <t>15050650-6</t>
  </si>
  <si>
    <t xml:space="preserve">CODOCEO </t>
  </si>
  <si>
    <t>ORMEÑO</t>
  </si>
  <si>
    <t>JOEL ALEXANDER</t>
  </si>
  <si>
    <t>OPERADOR CAMION PLUMA</t>
  </si>
  <si>
    <t>15164558-5</t>
  </si>
  <si>
    <t>SEPULVEDA</t>
  </si>
  <si>
    <t>VARGAS</t>
  </si>
  <si>
    <t>ESTEBAN ANDRES</t>
  </si>
  <si>
    <t>TECNICO RRHH PROYECTO</t>
  </si>
  <si>
    <t>15356694-1</t>
  </si>
  <si>
    <t>AYALA</t>
  </si>
  <si>
    <t>VENEGAS</t>
  </si>
  <si>
    <t>RAÚL EDUARDO</t>
  </si>
  <si>
    <t>RIGGER</t>
  </si>
  <si>
    <t>15441205-0</t>
  </si>
  <si>
    <t>ROBLES</t>
  </si>
  <si>
    <t>CUEVAS</t>
  </si>
  <si>
    <t>RONALD ROLF</t>
  </si>
  <si>
    <t>15494188-6</t>
  </si>
  <si>
    <t>GALLEGUILLOS</t>
  </si>
  <si>
    <t>JEFE OFICINA TECNICA</t>
  </si>
  <si>
    <t>15494232-7</t>
  </si>
  <si>
    <t xml:space="preserve">AGUILERA </t>
  </si>
  <si>
    <t>OSCAR ALEXI</t>
  </si>
  <si>
    <t>15575503-2</t>
  </si>
  <si>
    <t>JULIO</t>
  </si>
  <si>
    <t>TAPIA</t>
  </si>
  <si>
    <t>MANUEL ALEJANDRO</t>
  </si>
  <si>
    <t>15661268-5</t>
  </si>
  <si>
    <t>REBOLLEDO</t>
  </si>
  <si>
    <t>ROSALES</t>
  </si>
  <si>
    <t>LUIS ANDRES</t>
  </si>
  <si>
    <t>INGENIERO DE PROYECTOS</t>
  </si>
  <si>
    <t>15684747-k</t>
  </si>
  <si>
    <t xml:space="preserve">TAPIA </t>
  </si>
  <si>
    <t xml:space="preserve">SARA NOEMI </t>
  </si>
  <si>
    <t>JEFE DE CALIDAD</t>
  </si>
  <si>
    <t>15757199-0</t>
  </si>
  <si>
    <t>CARRASCO</t>
  </si>
  <si>
    <t>HERMOSILLA</t>
  </si>
  <si>
    <t>WILLIAMS ALEX</t>
  </si>
  <si>
    <t>15802017-3</t>
  </si>
  <si>
    <t>ARGANDOÑA</t>
  </si>
  <si>
    <t>IBACACHE</t>
  </si>
  <si>
    <t>PABLO CÉSAR</t>
  </si>
  <si>
    <t>15802541-8</t>
  </si>
  <si>
    <t>JAIME RODRIGO</t>
  </si>
  <si>
    <t>15834377-0</t>
  </si>
  <si>
    <t xml:space="preserve">LEON </t>
  </si>
  <si>
    <t>PLAZA</t>
  </si>
  <si>
    <t>WILLIAMS NELSON</t>
  </si>
  <si>
    <t>15876024-k</t>
  </si>
  <si>
    <t>STUARDO</t>
  </si>
  <si>
    <t>MANUEL ANTONIO</t>
  </si>
  <si>
    <t>MAESTRO SEGUNDA CONTROL CALIDAD</t>
  </si>
  <si>
    <t>15936945-5</t>
  </si>
  <si>
    <t>VERGARA</t>
  </si>
  <si>
    <t>KARLA ANDREA</t>
  </si>
  <si>
    <t>SUBGERENTE DE ESTUDIO DE PROYECTOS</t>
  </si>
  <si>
    <t>15969632-4</t>
  </si>
  <si>
    <t>ARROUCH</t>
  </si>
  <si>
    <t>MOLINA</t>
  </si>
  <si>
    <t>EDUARDO ANDRES</t>
  </si>
  <si>
    <t>15975698-k</t>
  </si>
  <si>
    <t>ARANCIBIA</t>
  </si>
  <si>
    <t>JORGE ALEJANDRO</t>
  </si>
  <si>
    <t>BODEGUERO</t>
  </si>
  <si>
    <t>15980010-5</t>
  </si>
  <si>
    <t>SOTO</t>
  </si>
  <si>
    <t xml:space="preserve">MARIO HERNAN </t>
  </si>
  <si>
    <t>15982591-4</t>
  </si>
  <si>
    <t xml:space="preserve">SIARES </t>
  </si>
  <si>
    <t>GUZMÁN</t>
  </si>
  <si>
    <t>RICHARD ALEXANDER</t>
  </si>
  <si>
    <t>ADMINISTRADOR DE CONTRATOS</t>
  </si>
  <si>
    <t>16054274-8</t>
  </si>
  <si>
    <t>MAYORGA</t>
  </si>
  <si>
    <t>ARCOS</t>
  </si>
  <si>
    <t>CARLOS MANUEL</t>
  </si>
  <si>
    <t>16055086-4</t>
  </si>
  <si>
    <t>CÁCERES</t>
  </si>
  <si>
    <t>OGALDE</t>
  </si>
  <si>
    <t>SEBASTIAN LORENZO</t>
  </si>
  <si>
    <t>TECNICO INSPECTOR Y DETECTOR DE FUGAS</t>
  </si>
  <si>
    <t>16109258-4</t>
  </si>
  <si>
    <t>VALDERRAMA</t>
  </si>
  <si>
    <t>TABILO</t>
  </si>
  <si>
    <t>JOSE ORLANDO</t>
  </si>
  <si>
    <t>16110209-1</t>
  </si>
  <si>
    <t xml:space="preserve">GUAJARDO </t>
  </si>
  <si>
    <t>SALAS</t>
  </si>
  <si>
    <t>CRISTIAN LENIER</t>
  </si>
  <si>
    <t xml:space="preserve">OPERADOR CAMION PLUMA </t>
  </si>
  <si>
    <t>16352344-2</t>
  </si>
  <si>
    <t>ABARCA</t>
  </si>
  <si>
    <t>JIMMY ALEJANDRO</t>
  </si>
  <si>
    <t>16401293-k</t>
  </si>
  <si>
    <t>TUDESCA</t>
  </si>
  <si>
    <t>LEANDRO ISAAC</t>
  </si>
  <si>
    <t>16407359-9</t>
  </si>
  <si>
    <t>GARRIDO</t>
  </si>
  <si>
    <t>ARRATIA</t>
  </si>
  <si>
    <t>JONATHAN VICTOR</t>
  </si>
  <si>
    <t>16443686-1</t>
  </si>
  <si>
    <t>ESQUIVEL</t>
  </si>
  <si>
    <t>OPAZO</t>
  </si>
  <si>
    <t>JUAN HERMAN ULIESES OPAZO</t>
  </si>
  <si>
    <t>ASESOR PREVENCION DE RIESGOS</t>
  </si>
  <si>
    <t>16481993-0</t>
  </si>
  <si>
    <t>GOLOTT</t>
  </si>
  <si>
    <t>VALDES</t>
  </si>
  <si>
    <t>MARIA JOSE IGNACIA</t>
  </si>
  <si>
    <t>16518571-4</t>
  </si>
  <si>
    <t>MARCELO ALEJANDRO</t>
  </si>
  <si>
    <t>16538795-3</t>
  </si>
  <si>
    <t xml:space="preserve">VASQUEZ </t>
  </si>
  <si>
    <t>BRAVO</t>
  </si>
  <si>
    <t>LUIS ALEXIS FERNANDO</t>
  </si>
  <si>
    <t>16687732-6</t>
  </si>
  <si>
    <t>CALLEJAS</t>
  </si>
  <si>
    <t>HERMAN ENRIQUE</t>
  </si>
  <si>
    <t>16911975-9</t>
  </si>
  <si>
    <t>GUAJARDO</t>
  </si>
  <si>
    <t>KATHRINE VALESKA</t>
  </si>
  <si>
    <t>ENCARGADA DOCUMENTAL DE DESPACHOS</t>
  </si>
  <si>
    <t>16971879-2</t>
  </si>
  <si>
    <t>MESSINA</t>
  </si>
  <si>
    <t>TRAIPE</t>
  </si>
  <si>
    <t>EDUARD NASKY</t>
  </si>
  <si>
    <t>AYUDANTE CONTROL CALIDAD</t>
  </si>
  <si>
    <t>bono innovacheck( correo)</t>
  </si>
  <si>
    <t>17003626-3</t>
  </si>
  <si>
    <t>MANSILLA</t>
  </si>
  <si>
    <t>GONZALO ANTONIO</t>
  </si>
  <si>
    <t>17028472-0</t>
  </si>
  <si>
    <t>CAMPOS</t>
  </si>
  <si>
    <t>MORA</t>
  </si>
  <si>
    <t>CAPATAZ INSPECCION Y DETECCION DE FUGAS</t>
  </si>
  <si>
    <t>17112456-5</t>
  </si>
  <si>
    <t>AVILES</t>
  </si>
  <si>
    <t>IVAN ALEJANDRO</t>
  </si>
  <si>
    <t>17119888-7</t>
  </si>
  <si>
    <t>LABRA</t>
  </si>
  <si>
    <t>RAMIREZ</t>
  </si>
  <si>
    <t>JANITZA ANABAENA</t>
  </si>
  <si>
    <t>ENCARGADA DOCUMENTAL Y CONTROL DE GESTION</t>
  </si>
  <si>
    <t>17131650-2</t>
  </si>
  <si>
    <t>BRIZUELA</t>
  </si>
  <si>
    <t>FUENTE</t>
  </si>
  <si>
    <t>FRANCISCO EDUARDO</t>
  </si>
  <si>
    <t>17164817-3</t>
  </si>
  <si>
    <t>CARVALLO</t>
  </si>
  <si>
    <t>FANNY DENIS</t>
  </si>
  <si>
    <t>ENCARGADA SSOMAC</t>
  </si>
  <si>
    <t>17175261-2</t>
  </si>
  <si>
    <t>CESAR ANTONIO</t>
  </si>
  <si>
    <t>17193572-5</t>
  </si>
  <si>
    <t>INGRID TAMARA</t>
  </si>
  <si>
    <t>ASESOR EN PREVENCIÓN DE RIESGOS</t>
  </si>
  <si>
    <t>17296868-6</t>
  </si>
  <si>
    <t>YAEGER</t>
  </si>
  <si>
    <t>GONZALEZ</t>
  </si>
  <si>
    <t>BORIS CAMILO</t>
  </si>
  <si>
    <t>OPERADOR RETROEXCAVADORA</t>
  </si>
  <si>
    <t>17331556-2</t>
  </si>
  <si>
    <t>AVILÉS</t>
  </si>
  <si>
    <t>MATCOVICH</t>
  </si>
  <si>
    <t>CLAUDIO FAVIÁN</t>
  </si>
  <si>
    <t>17362561-8</t>
  </si>
  <si>
    <t>SEBASTIAN ALEJANDRO</t>
  </si>
  <si>
    <t>AYUDANTE GEOSINTETICOS/VIENTERO</t>
  </si>
  <si>
    <t>Labores de Vientero</t>
  </si>
  <si>
    <t>17363318-1</t>
  </si>
  <si>
    <t>TORREJON</t>
  </si>
  <si>
    <t>DIEGO ALFONSO</t>
  </si>
  <si>
    <t>17364721-2</t>
  </si>
  <si>
    <t>LEDEZMA</t>
  </si>
  <si>
    <t>HERNAN EDUARDO</t>
  </si>
  <si>
    <t>17499645-8</t>
  </si>
  <si>
    <t xml:space="preserve">ALVAREZ </t>
  </si>
  <si>
    <t xml:space="preserve">VEAS </t>
  </si>
  <si>
    <t xml:space="preserve">RODRIGO EBENEZER </t>
  </si>
  <si>
    <t>TECNICO CONTROL DOCUMENTOS</t>
  </si>
  <si>
    <t>Bono por asignacion de obra</t>
  </si>
  <si>
    <t>Bono por liderar Geomemb</t>
  </si>
  <si>
    <t>17641049-3</t>
  </si>
  <si>
    <t>TRONCOSO</t>
  </si>
  <si>
    <t>CRISTOPHER ANDRES</t>
  </si>
  <si>
    <t>CONDUCTOR DE SERVICIO</t>
  </si>
  <si>
    <t>17659588-4</t>
  </si>
  <si>
    <t>FOURNIEL</t>
  </si>
  <si>
    <t xml:space="preserve"> NAVARRO</t>
  </si>
  <si>
    <t>ALVARO RODRIGO</t>
  </si>
  <si>
    <t>ADMINISTRADOR DE CONTRATO</t>
  </si>
  <si>
    <t>SOLO PAGAR BONO (LIQUIDO 1.6) - CENTRO COSTO SIN FAENA</t>
  </si>
  <si>
    <t>17712341-2</t>
  </si>
  <si>
    <t>PATRICIO ESTEBAN</t>
  </si>
  <si>
    <t>SUPERVISOR DE CONTROL DE CALIDAD</t>
  </si>
  <si>
    <t>17712833-3</t>
  </si>
  <si>
    <t xml:space="preserve">JIMENEZ </t>
  </si>
  <si>
    <t>GAMBOA</t>
  </si>
  <si>
    <t>LUIS EDUARDO</t>
  </si>
  <si>
    <t>17714007-4</t>
  </si>
  <si>
    <t>DUBO</t>
  </si>
  <si>
    <t>17722078-7</t>
  </si>
  <si>
    <t>CAIMANQUE</t>
  </si>
  <si>
    <t>JOSE CARLOS</t>
  </si>
  <si>
    <t>17773864-6</t>
  </si>
  <si>
    <t>CISTERNAS</t>
  </si>
  <si>
    <t xml:space="preserve">CLAUDIO ANDRES </t>
  </si>
  <si>
    <t>SUPERVISOR GEOSINTETICOS</t>
  </si>
  <si>
    <t>17902748-8</t>
  </si>
  <si>
    <t xml:space="preserve">MARIN </t>
  </si>
  <si>
    <t>TRIVIÑO</t>
  </si>
  <si>
    <t>JOSE ANTONIO</t>
  </si>
  <si>
    <t>18008213-1</t>
  </si>
  <si>
    <t>GUTIERREZ</t>
  </si>
  <si>
    <t>ESCUDERO</t>
  </si>
  <si>
    <t xml:space="preserve">ALEJANDRO HERNAN </t>
  </si>
  <si>
    <t>18055189-1</t>
  </si>
  <si>
    <t>ESPINOZA</t>
  </si>
  <si>
    <t>MEDINA</t>
  </si>
  <si>
    <t>RICARDO IGNACIO</t>
  </si>
  <si>
    <t>18125043-7</t>
  </si>
  <si>
    <t>IGOR</t>
  </si>
  <si>
    <t>LUKAS SERGEI</t>
  </si>
  <si>
    <t>18182792-0</t>
  </si>
  <si>
    <t>ANZA</t>
  </si>
  <si>
    <t>COLOMAR</t>
  </si>
  <si>
    <t>JOSE RODRIGO</t>
  </si>
  <si>
    <t>18193913-3</t>
  </si>
  <si>
    <t xml:space="preserve">CALDERON </t>
  </si>
  <si>
    <t>ALVAREZ</t>
  </si>
  <si>
    <t>JOSE MIGUEL</t>
  </si>
  <si>
    <t>18217453-K</t>
  </si>
  <si>
    <t>PASTEN</t>
  </si>
  <si>
    <t>GUZMAN</t>
  </si>
  <si>
    <t>JAIRO BRAYAN</t>
  </si>
  <si>
    <t>18255837-0</t>
  </si>
  <si>
    <t xml:space="preserve">ABARCA </t>
  </si>
  <si>
    <t xml:space="preserve">CHRISTIAN DAVID </t>
  </si>
  <si>
    <t>18316953-k</t>
  </si>
  <si>
    <t>LEYTON</t>
  </si>
  <si>
    <t>LLANOS</t>
  </si>
  <si>
    <t>VICTOR MANUEL</t>
  </si>
  <si>
    <t>18317023-6</t>
  </si>
  <si>
    <t>ZEPEDA</t>
  </si>
  <si>
    <t>FELIPE ALEJANDRO</t>
  </si>
  <si>
    <t>18318148-3</t>
  </si>
  <si>
    <t>ALVARO SEBASTIAN</t>
  </si>
  <si>
    <t>18352650-2</t>
  </si>
  <si>
    <t>COLLAO</t>
  </si>
  <si>
    <t>PAULINA ALEXANDRA</t>
  </si>
  <si>
    <t>ADMINISTRATIVO PREVENCION DE RIESGOS</t>
  </si>
  <si>
    <t>14x14 C</t>
  </si>
  <si>
    <t>18353271-5</t>
  </si>
  <si>
    <t>JOFRE</t>
  </si>
  <si>
    <t>DIEGO EDUARDO</t>
  </si>
  <si>
    <t>18353315-0</t>
  </si>
  <si>
    <t xml:space="preserve">SEGOVIA </t>
  </si>
  <si>
    <t>FABIAN EDGARDO</t>
  </si>
  <si>
    <t>18353767-9</t>
  </si>
  <si>
    <t>OCHOA</t>
  </si>
  <si>
    <t>ADAROS</t>
  </si>
  <si>
    <t>CAMILA ISABEL</t>
  </si>
  <si>
    <t>18444978-1</t>
  </si>
  <si>
    <t>TALAMILLA</t>
  </si>
  <si>
    <t xml:space="preserve">TALAMILLA </t>
  </si>
  <si>
    <t xml:space="preserve">FRANCISCO JAVIER </t>
  </si>
  <si>
    <t>18632489-7</t>
  </si>
  <si>
    <t>VEGA</t>
  </si>
  <si>
    <t>PATRICIO HERNAN</t>
  </si>
  <si>
    <t>18687714-4</t>
  </si>
  <si>
    <t>ROCO</t>
  </si>
  <si>
    <t>PEDRO DANIEL</t>
  </si>
  <si>
    <t>18840949-0</t>
  </si>
  <si>
    <t>SANDOVAL</t>
  </si>
  <si>
    <t>MONTERO</t>
  </si>
  <si>
    <t>MAXIMILIANO ANDRES</t>
  </si>
  <si>
    <t>OPERADOR MANIPULADOR TELESCOPICO</t>
  </si>
  <si>
    <t>18968220-4</t>
  </si>
  <si>
    <t>FRANCISCO ALEJANDRO</t>
  </si>
  <si>
    <t>18984688-6</t>
  </si>
  <si>
    <t>RICARDO ENRIQUE</t>
  </si>
  <si>
    <t>19046867-4</t>
  </si>
  <si>
    <t>AGUILERA</t>
  </si>
  <si>
    <t>19049850-6</t>
  </si>
  <si>
    <t>ISRAEL ARON</t>
  </si>
  <si>
    <t>19099785-5</t>
  </si>
  <si>
    <t xml:space="preserve">CARVAJAL </t>
  </si>
  <si>
    <t xml:space="preserve">POBLETE </t>
  </si>
  <si>
    <t xml:space="preserve">CRISTIAN EZEQUIEL </t>
  </si>
  <si>
    <t>INGENIERO PMO</t>
  </si>
  <si>
    <t>19104534-3</t>
  </si>
  <si>
    <t xml:space="preserve">GARCIA </t>
  </si>
  <si>
    <t xml:space="preserve">TRUJILLO </t>
  </si>
  <si>
    <t>JOSE GUILLERMO</t>
  </si>
  <si>
    <t>19123828-1</t>
  </si>
  <si>
    <t>ESPARZA</t>
  </si>
  <si>
    <t>COLLA</t>
  </si>
  <si>
    <t>GIOVANNI ANTONIO</t>
  </si>
  <si>
    <t>19155427-2</t>
  </si>
  <si>
    <t>IRIARTE</t>
  </si>
  <si>
    <t>CRISTOFFER MANUEL</t>
  </si>
  <si>
    <t>19206550-K</t>
  </si>
  <si>
    <t>SALVATIERRA</t>
  </si>
  <si>
    <t xml:space="preserve">ALCAINO </t>
  </si>
  <si>
    <t>NICOLAS IGNACIO</t>
  </si>
  <si>
    <t xml:space="preserve"> ALCAINO</t>
  </si>
  <si>
    <t xml:space="preserve">NICOLAS IGNACIO </t>
  </si>
  <si>
    <t>19260480-K</t>
  </si>
  <si>
    <t xml:space="preserve">LEIVA </t>
  </si>
  <si>
    <t>CLAUDIO ANDRES</t>
  </si>
  <si>
    <t>ELECTROMECANICO MANTENCION</t>
  </si>
  <si>
    <t>19302584-6</t>
  </si>
  <si>
    <t>RODRIGUEZ</t>
  </si>
  <si>
    <t>JONATHAN ALEXANDER</t>
  </si>
  <si>
    <t>ELECTROMECÁNICO MANTENCIÓN</t>
  </si>
  <si>
    <t>19355560-8</t>
  </si>
  <si>
    <t xml:space="preserve">DIAZ </t>
  </si>
  <si>
    <t xml:space="preserve">EDUARDO SERGIO </t>
  </si>
  <si>
    <t>19398564-5</t>
  </si>
  <si>
    <t>GIJON</t>
  </si>
  <si>
    <t>JAVIERA YASMINA</t>
  </si>
  <si>
    <t>19445770-7</t>
  </si>
  <si>
    <t xml:space="preserve">ROJAS </t>
  </si>
  <si>
    <t>KATIUSCA AYLEN</t>
  </si>
  <si>
    <t>GENERALISTA DE RRHH</t>
  </si>
  <si>
    <t>19507107-1</t>
  </si>
  <si>
    <t>SEBASTIAN IGNACIO</t>
  </si>
  <si>
    <t>BONOS PERMANENCIA NO PAGADO EN PROCESO ANTERIOR</t>
  </si>
  <si>
    <t>19551679-0</t>
  </si>
  <si>
    <t>FLORES</t>
  </si>
  <si>
    <t>MARCO ANDRES</t>
  </si>
  <si>
    <t>PROGRAMACION Y CONTROL</t>
  </si>
  <si>
    <t>19588589-3</t>
  </si>
  <si>
    <t xml:space="preserve">CORNEJO </t>
  </si>
  <si>
    <t>PADILLA</t>
  </si>
  <si>
    <t>TOMAS PABLO</t>
  </si>
  <si>
    <t>PROGRAMADOR Y CONTROL</t>
  </si>
  <si>
    <t>14 DIAS ADICIONALES  FRACCIONADOS POR REEMPLAZO DE CONTRATURNO CON LICENCIA (3-3)</t>
  </si>
  <si>
    <t>19663706-0</t>
  </si>
  <si>
    <t>CHACANA</t>
  </si>
  <si>
    <t>ARANGUE</t>
  </si>
  <si>
    <t>ESTEBAN ANDRÉS</t>
  </si>
  <si>
    <t>19712640-K</t>
  </si>
  <si>
    <t>SIERRA</t>
  </si>
  <si>
    <t>JOSE LUIS</t>
  </si>
  <si>
    <t>19809697-0</t>
  </si>
  <si>
    <t>BUSTAMANTE</t>
  </si>
  <si>
    <t>PACHECO</t>
  </si>
  <si>
    <t>MARYORIE CECILIA</t>
  </si>
  <si>
    <t>FINIQUITO 27-04-2026</t>
  </si>
  <si>
    <t>19815369-9</t>
  </si>
  <si>
    <t xml:space="preserve">COLLA </t>
  </si>
  <si>
    <t>ALEXANDER IGNACIO</t>
  </si>
  <si>
    <t>19863925-7</t>
  </si>
  <si>
    <t>CONTRERAS</t>
  </si>
  <si>
    <t>DANISSA ALEJANDRA</t>
  </si>
  <si>
    <t>19924867-7</t>
  </si>
  <si>
    <t>REYES</t>
  </si>
  <si>
    <t>JOSE IGNACIO</t>
  </si>
  <si>
    <t>19967782-9</t>
  </si>
  <si>
    <t>IGNACIO ANDRES</t>
  </si>
  <si>
    <t>ALARIFE</t>
  </si>
  <si>
    <t>20006272-8</t>
  </si>
  <si>
    <t>CARMONA</t>
  </si>
  <si>
    <t>ALZAMORA</t>
  </si>
  <si>
    <t>GABRIEL MATIAS</t>
  </si>
  <si>
    <t>20051179-4</t>
  </si>
  <si>
    <t xml:space="preserve">HIDALGO </t>
  </si>
  <si>
    <t xml:space="preserve">PATRICIO ANDRÉS </t>
  </si>
  <si>
    <t>TECNICO EN SISTEMA GEOMEMB</t>
  </si>
  <si>
    <t>20091945-9</t>
  </si>
  <si>
    <t>DENIS MARCELA</t>
  </si>
  <si>
    <t>ADMINISTRATIVO</t>
  </si>
  <si>
    <t>20229876-1</t>
  </si>
  <si>
    <t xml:space="preserve">REVECO </t>
  </si>
  <si>
    <t>VALENZUELA</t>
  </si>
  <si>
    <t>OMAR FRANCISCO</t>
  </si>
  <si>
    <t>20248225-2</t>
  </si>
  <si>
    <t>PAREDES</t>
  </si>
  <si>
    <t xml:space="preserve">VICTOR MATIAS </t>
  </si>
  <si>
    <t>20262451-0</t>
  </si>
  <si>
    <t>IRIBARREN</t>
  </si>
  <si>
    <t xml:space="preserve">SEBASTIAN LEE OSCAR </t>
  </si>
  <si>
    <t>20308051-4</t>
  </si>
  <si>
    <t xml:space="preserve">RODRIGUEZ </t>
  </si>
  <si>
    <t xml:space="preserve">KEVIN ALEJANDRO </t>
  </si>
  <si>
    <t>20308932-5</t>
  </si>
  <si>
    <t>VICTOR EDUARDO</t>
  </si>
  <si>
    <t>20400413-7</t>
  </si>
  <si>
    <t xml:space="preserve">ROJO </t>
  </si>
  <si>
    <t xml:space="preserve">PIZARRO </t>
  </si>
  <si>
    <t xml:space="preserve">DENIS ALEJANDRO </t>
  </si>
  <si>
    <t>20406991-3</t>
  </si>
  <si>
    <t>FELIPE ANDRES</t>
  </si>
  <si>
    <t>20501895-6</t>
  </si>
  <si>
    <t>SEBASTIÁN ISRAEL</t>
  </si>
  <si>
    <t>20517481-8</t>
  </si>
  <si>
    <t>EMILIO ESTEBAN</t>
  </si>
  <si>
    <t>20600125-9</t>
  </si>
  <si>
    <t>OLATE</t>
  </si>
  <si>
    <t>20601023-1</t>
  </si>
  <si>
    <t>ALEJANDRO MARCELO</t>
  </si>
  <si>
    <t>20684339-K</t>
  </si>
  <si>
    <t xml:space="preserve">JESIOTR </t>
  </si>
  <si>
    <t>JOSÉ CARLOS</t>
  </si>
  <si>
    <t>20728107-7</t>
  </si>
  <si>
    <t>VILLALOBOS</t>
  </si>
  <si>
    <t>20747827-K</t>
  </si>
  <si>
    <t>JAIRO LEANDRO</t>
  </si>
  <si>
    <t>20945942-6</t>
  </si>
  <si>
    <t>AXCEL ESTEBAN</t>
  </si>
  <si>
    <t>20952696-4</t>
  </si>
  <si>
    <t>VILLEJAS</t>
  </si>
  <si>
    <t>FRANCO IGNACIO PALMENIO</t>
  </si>
  <si>
    <t>20999190-k</t>
  </si>
  <si>
    <t>MARIO ANGEL</t>
  </si>
  <si>
    <t>21016873-7</t>
  </si>
  <si>
    <t>GAJARDO</t>
  </si>
  <si>
    <t>FRANCISCO OSIEL</t>
  </si>
  <si>
    <t>21022831-4</t>
  </si>
  <si>
    <t>HIDALGO</t>
  </si>
  <si>
    <t>CLEMENTE RAFAEL</t>
  </si>
  <si>
    <t>21463925-4</t>
  </si>
  <si>
    <t xml:space="preserve">NUÑEZ </t>
  </si>
  <si>
    <t>DELGADO</t>
  </si>
  <si>
    <t>MAICOL ANDRES</t>
  </si>
  <si>
    <t>21624367-6</t>
  </si>
  <si>
    <t>CARLOS HELENBER</t>
  </si>
  <si>
    <t>21743583-8</t>
  </si>
  <si>
    <t xml:space="preserve">CONTRERAS </t>
  </si>
  <si>
    <t>MILOVAN EUGENIO</t>
  </si>
  <si>
    <t>23983246-6</t>
  </si>
  <si>
    <t>SANTOS</t>
  </si>
  <si>
    <t>HERAS</t>
  </si>
  <si>
    <t>KEVIN LEONEL</t>
  </si>
  <si>
    <t>24231740-8</t>
  </si>
  <si>
    <t>MALDONADO</t>
  </si>
  <si>
    <t>LUIS ALBERTO</t>
  </si>
  <si>
    <t>24418429-4</t>
  </si>
  <si>
    <t>ZEGARRA</t>
  </si>
  <si>
    <t>FERNANDEZ</t>
  </si>
  <si>
    <t>JUAN PABLO</t>
  </si>
  <si>
    <t>24457802-0</t>
  </si>
  <si>
    <t>BEYUMA</t>
  </si>
  <si>
    <t>VIRUEZ</t>
  </si>
  <si>
    <t>DONNY</t>
  </si>
  <si>
    <t>24718250-0</t>
  </si>
  <si>
    <t xml:space="preserve">MOSQUERA </t>
  </si>
  <si>
    <t xml:space="preserve">GUILLERMO </t>
  </si>
  <si>
    <t>RECEPCIONISTA ADMINISTRATIVO</t>
  </si>
  <si>
    <t>24847465-3</t>
  </si>
  <si>
    <t>CONDORI</t>
  </si>
  <si>
    <t>CHOQUE</t>
  </si>
  <si>
    <t>ADALID</t>
  </si>
  <si>
    <t>25179180-5</t>
  </si>
  <si>
    <t>LENIS</t>
  </si>
  <si>
    <t>CASTRILLON</t>
  </si>
  <si>
    <t>JHON FREDY</t>
  </si>
  <si>
    <t>25247969-4</t>
  </si>
  <si>
    <t>BIBISCUS</t>
  </si>
  <si>
    <t>KAROL TATIANA</t>
  </si>
  <si>
    <t>26084510-1</t>
  </si>
  <si>
    <t>MENDOZA</t>
  </si>
  <si>
    <t>ALTAMIRANO</t>
  </si>
  <si>
    <t>ALEXANDER</t>
  </si>
  <si>
    <t>26128372-7</t>
  </si>
  <si>
    <t>VILNORD</t>
  </si>
  <si>
    <t>MACELICE</t>
  </si>
  <si>
    <t>27900677-1</t>
  </si>
  <si>
    <t>SORUCO</t>
  </si>
  <si>
    <t>CANDIA</t>
  </si>
  <si>
    <t>CARLOS DAVID</t>
  </si>
  <si>
    <t>27928346-5</t>
  </si>
  <si>
    <t>ARTETA</t>
  </si>
  <si>
    <t>CHARRIS</t>
  </si>
  <si>
    <t>DARIELA ANDREA</t>
  </si>
  <si>
    <t>1 DIA NORMAL CURSO INDUCCION SSO</t>
  </si>
  <si>
    <t>28087199-0</t>
  </si>
  <si>
    <t>SANCHEZ</t>
  </si>
  <si>
    <t>JHURGEN ADRIAN</t>
  </si>
  <si>
    <t>28459164-K</t>
  </si>
  <si>
    <t>DURAN</t>
  </si>
  <si>
    <t xml:space="preserve">ROLANDO DURAN MENDOZA </t>
  </si>
  <si>
    <t>Rut Trabajador</t>
  </si>
  <si>
    <t>DV RUT</t>
  </si>
  <si>
    <t>Nombre del Trabajador</t>
  </si>
  <si>
    <t>Valor Cuota</t>
  </si>
  <si>
    <t xml:space="preserve">BONE SANTIS CARLOS ALBERTO              </t>
  </si>
  <si>
    <t xml:space="preserve">BARRIA BARRIENTOS HARRY ISMAEL          </t>
  </si>
  <si>
    <t xml:space="preserve">CARJA JARA CRESCENTE ARTURO             </t>
  </si>
  <si>
    <t>K</t>
  </si>
  <si>
    <t xml:space="preserve">OLIVARES DIAZ GONZALO LUIS              </t>
  </si>
  <si>
    <t xml:space="preserve">ASTUDILLO FRE JUAN LUIS                 </t>
  </si>
  <si>
    <t xml:space="preserve">HERNANDEZ DE LA FUENTE FERNANDO HIPOLIT </t>
  </si>
  <si>
    <t xml:space="preserve">ANDRADE CASTRO LUIS BERNARDO            </t>
  </si>
  <si>
    <t xml:space="preserve">ENIPANE CANOBRA RENE                    </t>
  </si>
  <si>
    <t xml:space="preserve">SANTANDER SANTANDER CARLOS LUIS         </t>
  </si>
  <si>
    <t xml:space="preserve">ORTIZ MEDEL SEBASTIAN DEL CARMEN        </t>
  </si>
  <si>
    <t xml:space="preserve">CORTES HINAREJO ALEXIS RODRIGO          </t>
  </si>
  <si>
    <t xml:space="preserve">CODOCEO ORMENO JOEL ALEXANDER           </t>
  </si>
  <si>
    <t xml:space="preserve">SEPULVEDA VARGAS ESTEBAN ANDRES         </t>
  </si>
  <si>
    <t xml:space="preserve">ESTAY MORALES RENE ORLANDO              </t>
  </si>
  <si>
    <t xml:space="preserve">ARGANDONA IBACACHE PABLO CESAR          </t>
  </si>
  <si>
    <t xml:space="preserve">JOSE ORLANDO VALDERRAMA TABILO          </t>
  </si>
  <si>
    <t xml:space="preserve">GALLEGUILLOS GALLEGUILLOS WALDO GABRIEL </t>
  </si>
  <si>
    <t xml:space="preserve">DIAZ GUAJARDO KATHERINE VALESKA         </t>
  </si>
  <si>
    <t xml:space="preserve">HERRERA CARVALLO FANNY DENIS            </t>
  </si>
  <si>
    <t xml:space="preserve">PIZARRO VEGA CRISTIAN FERNANDO          </t>
  </si>
  <si>
    <t xml:space="preserve">JOSE MIGUEL CALDERON ALVAREZ            </t>
  </si>
  <si>
    <t xml:space="preserve">PASTEN GUZMAN JAIRO BRAYAN              </t>
  </si>
  <si>
    <t xml:space="preserve">SEGOVIA ALFARO FABIAN EDGARDO           </t>
  </si>
  <si>
    <t xml:space="preserve">CASTILLO RODRIGUEZ JONATHAN ALEXANDER   </t>
  </si>
  <si>
    <t xml:space="preserve">IVAN MARCELO VILLEGAS CARMONA           </t>
  </si>
  <si>
    <t xml:space="preserve">GUERRERO LOPEZ CRISTOFHER ANDRES        </t>
  </si>
  <si>
    <t xml:space="preserve">PATRICIO ANDRES HIDALGO SEGOVIA         </t>
  </si>
  <si>
    <t xml:space="preserve">JOSE IGNACIO BARAHONA BERRIOS           </t>
  </si>
  <si>
    <t xml:space="preserve">ALVARO ALFONSO EXEQUIEL PEREZ ROJAS     </t>
  </si>
  <si>
    <t>RutAfiliado</t>
  </si>
  <si>
    <t>DvAfiliado</t>
  </si>
  <si>
    <t>NombreAfiliado</t>
  </si>
  <si>
    <t>MontoCuotaPendiente</t>
  </si>
  <si>
    <t>VICTOR POBLETE</t>
  </si>
  <si>
    <t>ALEJANDRO ELGUETA</t>
  </si>
  <si>
    <t>MANUEL STUARDO</t>
  </si>
  <si>
    <t>DAVID EXEQUIEL</t>
  </si>
  <si>
    <t>RUT</t>
  </si>
  <si>
    <t>TOTAL</t>
  </si>
  <si>
    <t>R.U.T.</t>
  </si>
  <si>
    <t>Nombre</t>
  </si>
  <si>
    <t>Total</t>
  </si>
  <si>
    <t>DIAZ BASUALTO, ANDRES</t>
  </si>
  <si>
    <t>REBOLLEDO ROSALES, LUIS</t>
  </si>
  <si>
    <t>ARAYA REYES, MARCO</t>
  </si>
  <si>
    <t>SEPULVEDA VERGAR, KARLA</t>
  </si>
  <si>
    <t>HERRERA CARVALLO, FANNY DENIS</t>
  </si>
  <si>
    <t>HERNANDEZ DE LA FUENTE, FERNANDO</t>
  </si>
  <si>
    <t>NARVAEZ PEÑA, ALDO</t>
  </si>
  <si>
    <t>CAMPILLAI NAVARRO, VICTOR</t>
  </si>
  <si>
    <t>LABRA RAMIREZ, JANITZA ANABAENA</t>
  </si>
  <si>
    <t>TORO ANDRADE, ESTEBAN</t>
  </si>
  <si>
    <t>RETAMAL ARAYA, JAIME LORENZO</t>
  </si>
  <si>
    <t>SILVA BOCK, DANIELA</t>
  </si>
  <si>
    <t>Nº</t>
  </si>
  <si>
    <t>1073-Otras Asignaciones N/I (Beneficios)</t>
  </si>
  <si>
    <t>3 DIAS DESCANSO MAYO-26</t>
  </si>
  <si>
    <t>9 DIAS DESCANSO MAYO-26</t>
  </si>
  <si>
    <t>5 DIAS DESCANSO MAYO-26</t>
  </si>
  <si>
    <t xml:space="preserve"> 9  DIAS DESCANSO MAYO-26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</si>
</sst>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MS Sans Serif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1" fillId="0" borderId="0" xfId="0" applyNumberFormat="1" applyFont="1"/>
    <xf numFmtId="9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B1585465-DBD9-408A-A88E-811CD39ACA8B}" autoFormatId="16" applyNumberFormats="0" applyBorderFormats="0" applyFontFormats="0" applyPatternFormats="0" applyAlignmentFormats="0" applyWidthHeightFormats="0">
  <queryTableRefresh nextId="97" unboundColumnsRight="6">
    <queryTableFields count="96">
      <queryTableField id="1" name="Índice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  <queryTableField id="89" name="DIAS ADICIONALES CHIQUICAMATA" tableColumnId="89"/>
      <queryTableField id="90" name=" BONO PARTICIPACION CHIQUI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87AF94CF-A4FB-4C47-A98A-5210C44973C8}" autoFormatId="16" applyNumberFormats="0" applyBorderFormats="0" applyFontFormats="0" applyPatternFormats="0" applyAlignmentFormats="0" applyWidthHeightFormats="0">
  <queryTableRefresh nextId="91">
    <queryTableFields count="90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  <queryTableField id="89" name="DIAS ADICIONALES CHIQUICAMATA" tableColumnId="89"/>
      <queryTableField id="90" name=" BONO PARTICIPACION CHIQUI" tableColumnId="9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4" xr16:uid="{09BBD4BB-98FA-449D-A313-203E7E40DC9F}" autoFormatId="16" applyNumberFormats="0" applyBorderFormats="0" applyFontFormats="0" applyPatternFormats="0" applyAlignmentFormats="0" applyWidthHeightFormats="0">
  <queryTableRefresh nextId="91">
    <queryTableFields count="90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  <queryTableField id="89" name="DIAS ADICIONALES CHIQUICAMATA" tableColumnId="89"/>
      <queryTableField id="90" name=" BONO PARTICIPACION CHIQUI" tableColumnId="9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FD8559F-EE67-4B1E-BEEC-76366616C774}" autoFormatId="16" applyNumberFormats="0" applyBorderFormats="0" applyFontFormats="0" applyPatternFormats="0" applyAlignmentFormats="0" applyWidthHeightFormats="0">
  <queryTableRefresh nextId="91">
    <queryTableFields count="90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  <queryTableField id="89" name="DIAS ADICIONALES CHIQUICAMATA" tableColumnId="89"/>
      <queryTableField id="90" name=" BONO PARTICIPACION CHIQUI" tableColumnId="9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1E6FB7-4DAB-4272-A7D9-95C5B5C710AD}" autoFormatId="16" applyNumberFormats="0" applyBorderFormats="0" applyFontFormats="0" applyPatternFormats="0" applyAlignmentFormats="0" applyWidthHeightFormats="0">
  <queryTableRefresh nextId="91">
    <queryTableFields count="90">
      <queryTableField id="1" name="Nº" tableColumnId="1"/>
      <queryTableField id="2" name="RUT (sin puntos y con guion)" tableColumnId="2"/>
      <queryTableField id="3" name="ID (rut sin puntos, sin guión ni digito vertificador)" tableColumnId="3"/>
      <queryTableField id="4" name="APELLIDO PATERNO" tableColumnId="4"/>
      <queryTableField id="5" name="APELLIDO MATERNO" tableColumnId="5"/>
      <queryTableField id="6" name="NOMBRES" tableColumnId="6"/>
      <queryTableField id="7" name="CARGO" tableColumnId="7"/>
      <queryTableField id="8" name="INICIO DE CONTRATO" tableColumnId="8"/>
      <queryTableField id="9" name="D/I" tableColumnId="9"/>
      <queryTableField id="10" name="GENERO M/F" tableColumnId="10"/>
      <queryTableField id="11" name="TURNO (5x2-4x3-14x14 -art22)" tableColumnId="11"/>
      <queryTableField id="12" name="CC" tableColumnId="12"/>
      <queryTableField id="13" name="1" tableColumnId="13"/>
      <queryTableField id="14" name="2" tableColumnId="14"/>
      <queryTableField id="15" name="3" tableColumnId="15"/>
      <queryTableField id="16" name="4" tableColumnId="16"/>
      <queryTableField id="17" name="5" tableColumnId="17"/>
      <queryTableField id="18" name="6" tableColumnId="18"/>
      <queryTableField id="19" name="7" tableColumnId="19"/>
      <queryTableField id="20" name="8" tableColumnId="20"/>
      <queryTableField id="21" name="9" tableColumnId="21"/>
      <queryTableField id="22" name="10" tableColumnId="22"/>
      <queryTableField id="23" name="11" tableColumnId="23"/>
      <queryTableField id="24" name="12" tableColumnId="24"/>
      <queryTableField id="25" name="13" tableColumnId="25"/>
      <queryTableField id="26" name="14" tableColumnId="26"/>
      <queryTableField id="27" name="15" tableColumnId="27"/>
      <queryTableField id="28" name="16" tableColumnId="28"/>
      <queryTableField id="29" name="17" tableColumnId="29"/>
      <queryTableField id="30" name="18" tableColumnId="30"/>
      <queryTableField id="31" name="19" tableColumnId="31"/>
      <queryTableField id="32" name="20" tableColumnId="32"/>
      <queryTableField id="33" name="21" tableColumnId="33"/>
      <queryTableField id="34" name="22" tableColumnId="34"/>
      <queryTableField id="35" name="23" tableColumnId="35"/>
      <queryTableField id="36" name="24" tableColumnId="36"/>
      <queryTableField id="37" name="25" tableColumnId="37"/>
      <queryTableField id="38" name="26" tableColumnId="38"/>
      <queryTableField id="39" name="27" tableColumnId="39"/>
      <queryTableField id="40" name="28" tableColumnId="40"/>
      <queryTableField id="41" name="29" tableColumnId="41"/>
      <queryTableField id="42" name="30" tableColumnId="42"/>
      <queryTableField id="43" name="31" tableColumnId="43"/>
      <queryTableField id="44" name="(1)" tableColumnId="44"/>
      <queryTableField id="45" name="(2)" tableColumnId="45"/>
      <queryTableField id="46" name="(3)" tableColumnId="46"/>
      <queryTableField id="47" name="(4)" tableColumnId="47"/>
      <queryTableField id="48" name="(5)" tableColumnId="48"/>
      <queryTableField id="49" name="(6)" tableColumnId="49"/>
      <queryTableField id="50" name="(7)" tableColumnId="50"/>
      <queryTableField id="51" name="(8)" tableColumnId="51"/>
      <queryTableField id="52" name="(9)" tableColumnId="52"/>
      <queryTableField id="53" name="T.D.T." tableColumnId="53"/>
      <queryTableField id="54" name="1033-Bono Gestión Variable" tableColumnId="54"/>
      <queryTableField id="55" name="1029-Bono Compensatorio descanso" tableColumnId="55"/>
      <queryTableField id="56" name="Justificación Bono 10-29 (Compensatorio descanso)" tableColumnId="56"/>
      <queryTableField id="57" name="1034-Bono Incentivo variable" tableColumnId="57"/>
      <queryTableField id="58" name="Justificación Bono 1034 (Incentivo variable)" tableColumnId="58"/>
      <queryTableField id="59" name="1140-Bono Responsabilidad 2" tableColumnId="59"/>
      <queryTableField id="60" name="Justificación 1140 (Bono Responsabilidad)" tableColumnId="60"/>
      <queryTableField id="61" name="1041-Bono Terreno (Exclusivo proyecto Techint-CMDIC)" tableColumnId="61"/>
      <queryTableField id="62" name="1031-Bono Escolaridad I/T (Uso exclusivo Area de Compensaciones)" tableColumnId="62"/>
      <queryTableField id="63" name="1092-Diferencia de haber" tableColumnId="63"/>
      <queryTableField id="64" name="Justificación Bono 1092 (Diferencia de Haber)" tableColumnId="64"/>
      <queryTableField id="65" name="Cantidad de feriados del mes" tableColumnId="65"/>
      <queryTableField id="66" name="1082-Bono Compens. Feriado" tableColumnId="66"/>
      <queryTableField id="67" name="1020-Aguinaldo I/T" tableColumnId="67"/>
      <queryTableField id="68" name="1140-Bono de Permanencia (Plan de Beneficios)" tableColumnId="68"/>
      <queryTableField id="69" name="Bono Seguridad BESALCO-MEL" tableColumnId="69"/>
      <queryTableField id="70" name="Bono Q1 (Exclusivo Collahuasi)" tableColumnId="70"/>
      <queryTableField id="71" name="Bono Q2 (Exclusivo Collahuasi)" tableColumnId="71"/>
      <queryTableField id="72" name="Bono Q3 (Exclusivo Collahuasi)" tableColumnId="72"/>
      <queryTableField id="73" name="Bono Q4 (Exclusivo Collahuasi)" tableColumnId="73"/>
      <queryTableField id="74" name="Bono RSA (Exclusivo Collahuasi)" tableColumnId="74"/>
      <queryTableField id="75" name="1044-Asignación Colación" tableColumnId="75"/>
      <queryTableField id="76" name="Justificación Asignacion Colacion" tableColumnId="76"/>
      <queryTableField id="77" name="1165-Asignación Movilización 2" tableColumnId="77"/>
      <queryTableField id="78" name="Justificación Asignación Movilización 2" tableColumnId="78"/>
      <queryTableField id="79" name="1172-Viatico 2" tableColumnId="79"/>
      <queryTableField id="80" name="Justificación Viatico" tableColumnId="80"/>
      <queryTableField id="81" name="1073-Otras Asignaciones N/I (Beneficios)" tableColumnId="81"/>
      <queryTableField id="82" name="Justificaciión de Asignación (Detalle del beneficio)" tableColumnId="82"/>
      <queryTableField id="83" name="1032-Bono Escolaridad N/I" tableColumnId="83"/>
      <queryTableField id="84" name="1124-Asignación familiar Retroactiva" tableColumnId="84"/>
      <queryTableField id="85" name="Descuento por aporte voluntario" tableColumnId="85"/>
      <queryTableField id="86" name="Observaciones generales" tableColumnId="86"/>
      <queryTableField id="87" name="ACUERDO MARCO ACCIONA-CODELCO" tableColumnId="87"/>
      <queryTableField id="88" name="GRATIFICACION ACUERD MARCO ACCIONA-CODELCO2" tableColumnId="88"/>
      <queryTableField id="89" name="DIAS ADICIONALES CHIQUICAMATA" tableColumnId="89"/>
      <queryTableField id="90" name=" BONO PARTICIPACION CHIQUI" tableColumnId="9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71B266-6CBB-4A6E-A02C-5627F25CD2E0}" name="Anexar1" displayName="Anexar1" ref="A1:CR204" tableType="queryTable" totalsRowCount="1">
  <autoFilter ref="A1:CR203" xr:uid="{2D71B266-6CBB-4A6E-A02C-5627F25CD2E0}">
    <filterColumn colId="76">
      <customFilters>
        <customFilter operator="notEqual" val=" "/>
      </customFilters>
    </filterColumn>
  </autoFilter>
  <sortState xmlns:xlrd2="http://schemas.microsoft.com/office/spreadsheetml/2017/richdata2" ref="A2:CL203">
    <sortCondition ref="C1:C203"/>
  </sortState>
  <tableColumns count="96">
    <tableColumn id="1" xr3:uid="{1CC6A029-4B91-4B52-8CED-A5C01D09FF85}" uniqueName="1" name="Índice" queryTableFieldId="1"/>
    <tableColumn id="2" xr3:uid="{AD99992B-6DB9-441D-8297-4F254FDE199A}" uniqueName="2" name="RUT (sin puntos y con guion)" queryTableFieldId="2" dataDxfId="63"/>
    <tableColumn id="3" xr3:uid="{CB260221-5EE8-476C-8F9A-4DDC1399B2CF}" uniqueName="3" name="ID (rut sin puntos, sin guión ni digito vertificador)" queryTableFieldId="3"/>
    <tableColumn id="4" xr3:uid="{1FBFCD70-B8E4-4B54-907A-F7CB854BBACA}" uniqueName="4" name="APELLIDO PATERNO" queryTableFieldId="4" dataDxfId="62"/>
    <tableColumn id="5" xr3:uid="{518F5471-A523-4F00-B4F0-8EA333A5CBA8}" uniqueName="5" name="APELLIDO MATERNO" queryTableFieldId="5" dataDxfId="61"/>
    <tableColumn id="6" xr3:uid="{6B4795DE-56FE-4795-8FE6-738AA70069F2}" uniqueName="6" name="NOMBRES" queryTableFieldId="6" dataDxfId="60"/>
    <tableColumn id="7" xr3:uid="{DA82A5AF-0E0E-4BDA-9AE8-08774F2B2A67}" uniqueName="7" name="CARGO" queryTableFieldId="7" dataDxfId="59"/>
    <tableColumn id="8" xr3:uid="{F14FCC88-EEAB-41FC-A314-F49B026DC14C}" uniqueName="8" name="INICIO DE CONTRATO" queryTableFieldId="8" dataDxfId="58" totalsRowDxfId="57"/>
    <tableColumn id="9" xr3:uid="{748B5EE7-E313-468C-982B-9D2CCED62B65}" uniqueName="9" name="D/I" queryTableFieldId="9" dataDxfId="56"/>
    <tableColumn id="10" xr3:uid="{3BB9E943-963B-4817-8760-844E4B58F2F3}" uniqueName="10" name="GENERO M/F" queryTableFieldId="10" dataDxfId="55"/>
    <tableColumn id="11" xr3:uid="{D6AFB7C3-E29C-4C78-A4A3-146314F71283}" uniqueName="11" name="TURNO (5x2-4x3-14x14 -art22)" queryTableFieldId="11" dataDxfId="54"/>
    <tableColumn id="12" xr3:uid="{466B37BB-22DD-490A-9F7B-DA0833E3F27E}" uniqueName="12" name="CC" queryTableFieldId="12"/>
    <tableColumn id="13" xr3:uid="{E5662406-CC41-41B7-8741-BAD337B04383}" uniqueName="13" name="1" queryTableFieldId="13"/>
    <tableColumn id="14" xr3:uid="{95078F13-C5C6-4616-AC90-7125B60405A4}" uniqueName="14" name="2" queryTableFieldId="14"/>
    <tableColumn id="15" xr3:uid="{8D0D7A6C-978C-4092-B8CC-72DC92725677}" uniqueName="15" name="3" queryTableFieldId="15"/>
    <tableColumn id="16" xr3:uid="{45E7034A-BD20-4CA7-85C0-C52BCA8FABDF}" uniqueName="16" name="4" queryTableFieldId="16"/>
    <tableColumn id="17" xr3:uid="{B84B8AE8-41A1-4793-B58A-C8A4867194AD}" uniqueName="17" name="5" queryTableFieldId="17"/>
    <tableColumn id="18" xr3:uid="{0548EFF1-7EA5-4F60-863C-290F8A5B63DA}" uniqueName="18" name="6" queryTableFieldId="18"/>
    <tableColumn id="19" xr3:uid="{099F758C-125F-4A8D-8C52-490744D5EB65}" uniqueName="19" name="7" queryTableFieldId="19"/>
    <tableColumn id="20" xr3:uid="{8479D4FE-6803-4EB3-A3B7-0CEB9811CDE2}" uniqueName="20" name="8" queryTableFieldId="20"/>
    <tableColumn id="21" xr3:uid="{C52104C7-CCC0-4B45-BFDC-E784D49CA5CF}" uniqueName="21" name="9" queryTableFieldId="21"/>
    <tableColumn id="22" xr3:uid="{D86EFFE4-82E5-437C-B9B8-F4F689D903B7}" uniqueName="22" name="10" queryTableFieldId="22"/>
    <tableColumn id="23" xr3:uid="{4A65F04F-7287-4EAB-8E68-B9190CFA1125}" uniqueName="23" name="11" queryTableFieldId="23"/>
    <tableColumn id="24" xr3:uid="{0A8FC168-4B30-4D2A-A462-273B2B804DFE}" uniqueName="24" name="12" queryTableFieldId="24"/>
    <tableColumn id="25" xr3:uid="{06156484-077B-4CAC-9D64-CC35D892153D}" uniqueName="25" name="13" queryTableFieldId="25"/>
    <tableColumn id="26" xr3:uid="{EAE7B86D-7B34-4D89-A9F3-C50FC3061D41}" uniqueName="26" name="14" queryTableFieldId="26"/>
    <tableColumn id="27" xr3:uid="{75EB56D5-9668-49EA-BA9A-B0CDCFFCEECC}" uniqueName="27" name="15" queryTableFieldId="27"/>
    <tableColumn id="28" xr3:uid="{39D42353-40BE-4805-8BC4-31F9DAFCE556}" uniqueName="28" name="16" queryTableFieldId="28"/>
    <tableColumn id="29" xr3:uid="{6FFE779A-C60B-4327-A89F-C2C85F030A1F}" uniqueName="29" name="17" queryTableFieldId="29"/>
    <tableColumn id="30" xr3:uid="{DC190DCA-89BC-4E93-B4EB-CC53D705D9FB}" uniqueName="30" name="18" queryTableFieldId="30"/>
    <tableColumn id="31" xr3:uid="{08B759A0-8C5B-44F8-B7DD-23AF075A64F9}" uniqueName="31" name="19" queryTableFieldId="31"/>
    <tableColumn id="32" xr3:uid="{B9753A9E-B088-4CEB-8E49-3D93721AD03B}" uniqueName="32" name="20" queryTableFieldId="32"/>
    <tableColumn id="33" xr3:uid="{BEACDFB0-55D7-477C-84B3-BC93088EFE51}" uniqueName="33" name="21" queryTableFieldId="33"/>
    <tableColumn id="34" xr3:uid="{7C263BB4-5BE5-4BD4-BA6E-552EEC022061}" uniqueName="34" name="22" queryTableFieldId="34"/>
    <tableColumn id="35" xr3:uid="{3753D246-9AA1-406D-813C-6760AFD3CE3F}" uniqueName="35" name="23" queryTableFieldId="35"/>
    <tableColumn id="36" xr3:uid="{C1903699-0F62-45AE-8B30-9E14249A0D92}" uniqueName="36" name="24" queryTableFieldId="36"/>
    <tableColumn id="37" xr3:uid="{D5372012-FA87-4D76-8DEF-B96678FE0371}" uniqueName="37" name="25" queryTableFieldId="37"/>
    <tableColumn id="38" xr3:uid="{172D044F-D88A-45EA-95C3-D6D05CF68565}" uniqueName="38" name="26" queryTableFieldId="38"/>
    <tableColumn id="39" xr3:uid="{50BD1887-20F4-403A-AE39-03BA3F3B3487}" uniqueName="39" name="27" queryTableFieldId="39"/>
    <tableColumn id="40" xr3:uid="{A7AB4F29-7505-4234-934A-E830B57B8F8B}" uniqueName="40" name="28" queryTableFieldId="40"/>
    <tableColumn id="41" xr3:uid="{C24FE77C-0064-43D7-AF0F-2E78C74D401D}" uniqueName="41" name="29" queryTableFieldId="41"/>
    <tableColumn id="42" xr3:uid="{696CB01D-098F-4205-B059-4080A0B21D74}" uniqueName="42" name="30" queryTableFieldId="42"/>
    <tableColumn id="43" xr3:uid="{AD35E1F0-4E14-4A71-B41E-6FDE29536ED0}" uniqueName="43" name="31" queryTableFieldId="43"/>
    <tableColumn id="44" xr3:uid="{93194ECF-CC77-4F0B-8C97-E47172DF99CE}" uniqueName="44" name="(1)" queryTableFieldId="44"/>
    <tableColumn id="45" xr3:uid="{545C3B89-855A-48EE-AAC9-412F288AD3C0}" uniqueName="45" name="(2)" queryTableFieldId="45"/>
    <tableColumn id="46" xr3:uid="{34DC6D4C-DD0D-4B6E-BFC6-C2CFF6FA5197}" uniqueName="46" name="(3)" queryTableFieldId="46"/>
    <tableColumn id="47" xr3:uid="{0839DAFF-266E-4C68-95FD-390467417D5F}" uniqueName="47" name="(4)" queryTableFieldId="47"/>
    <tableColumn id="48" xr3:uid="{A16DC240-4D03-4F55-805A-3ADF12D44EE0}" uniqueName="48" name="(5)" queryTableFieldId="48"/>
    <tableColumn id="49" xr3:uid="{3C934578-CF13-4233-9C06-2EC41EA34A02}" uniqueName="49" name="(6)" queryTableFieldId="49"/>
    <tableColumn id="50" xr3:uid="{0729D7F2-6894-4398-B204-F65FD7ED4BD4}" uniqueName="50" name="(7)" queryTableFieldId="50"/>
    <tableColumn id="51" xr3:uid="{6B01D2CC-FC15-42EE-9725-9E0EBB02B8FF}" uniqueName="51" name="(8)" queryTableFieldId="51"/>
    <tableColumn id="52" xr3:uid="{CE2F935F-2151-4DCB-A88C-B6F4FE450DBA}" uniqueName="52" name="(9)" queryTableFieldId="52"/>
    <tableColumn id="53" xr3:uid="{3C5FF945-72ED-4BFC-9017-4B7B89C3FA8C}" uniqueName="53" name="T.D.T." queryTableFieldId="53"/>
    <tableColumn id="54" xr3:uid="{93A77525-F63B-4B38-84AC-88F05730AB32}" uniqueName="54" name="1033-Bono Gestión Variable" queryTableFieldId="54"/>
    <tableColumn id="55" xr3:uid="{95E6C04C-076A-441B-9911-8E610BF79745}" uniqueName="55" name="1029-Bono Compensatorio descanso" queryTableFieldId="55"/>
    <tableColumn id="56" xr3:uid="{CD7CA8C4-CA85-494A-B021-DF2FE04B2B43}" uniqueName="56" name="Justificación Bono 10-29 (Compensatorio descanso)" queryTableFieldId="56"/>
    <tableColumn id="57" xr3:uid="{61F62336-D68C-4526-9551-DE7DBFF2DF3E}" uniqueName="57" name="1034-Bono Incentivo variable" queryTableFieldId="57"/>
    <tableColumn id="58" xr3:uid="{28BDAC28-4328-4F75-8C8F-1769B7FBDACB}" uniqueName="58" name="Justificación Bono 1034 (Incentivo variable)" queryTableFieldId="58" dataDxfId="53"/>
    <tableColumn id="59" xr3:uid="{8308B55C-9574-4A9E-A84D-01C2B744F49E}" uniqueName="59" name="1140-Bono Responsabilidad 2" queryTableFieldId="59"/>
    <tableColumn id="60" xr3:uid="{21F7B633-FB60-48F7-BAA1-06E569165997}" uniqueName="60" name="Justificación 1140 (Bono Responsabilidad)" queryTableFieldId="60"/>
    <tableColumn id="61" xr3:uid="{704F6A10-E785-4F2B-9A5A-1597FD9A815D}" uniqueName="61" name="1041-Bono Terreno (Exclusivo proyecto Techint-CMDIC)" queryTableFieldId="61"/>
    <tableColumn id="62" xr3:uid="{770B62F0-E32D-435A-A6A9-654B356794E9}" uniqueName="62" name="1031-Bono Escolaridad I/T (Uso exclusivo Area de Compensaciones)" queryTableFieldId="62"/>
    <tableColumn id="63" xr3:uid="{76A64699-B045-4883-8C90-81572C15380E}" uniqueName="63" name="1092-Diferencia de haber" queryTableFieldId="63"/>
    <tableColumn id="64" xr3:uid="{26319731-18B5-442A-AFAA-D0EA0708D5D9}" uniqueName="64" name="Justificación Bono 1092 (Diferencia de Haber)" queryTableFieldId="64"/>
    <tableColumn id="65" xr3:uid="{338E5D6E-FEAD-41BC-820D-BF80727B7EBD}" uniqueName="65" name="Cantidad de feriados del mes" queryTableFieldId="65"/>
    <tableColumn id="66" xr3:uid="{C2BB084D-4D3A-49FE-9B8E-7400B7A01A61}" uniqueName="66" name="1082-Bono Compens. Feriado" queryTableFieldId="66"/>
    <tableColumn id="67" xr3:uid="{9336478B-C934-497E-9112-BB2ED0AF79D7}" uniqueName="67" name="1020-Aguinaldo I/T" queryTableFieldId="67"/>
    <tableColumn id="68" xr3:uid="{4CC61F99-D7B4-4919-92C9-8282BA2184D9}" uniqueName="68" name="1140-Bono de Permanencia (Plan de Beneficios)" queryTableFieldId="68"/>
    <tableColumn id="69" xr3:uid="{EB2D2DB6-AF32-462E-90F2-73A0461B7B0B}" uniqueName="69" name="Bono Seguridad BESALCO-MEL" queryTableFieldId="69"/>
    <tableColumn id="70" xr3:uid="{2593DF79-B91B-4BAA-9E33-2F8AFCD575B9}" uniqueName="70" name="Bono Q1 (Exclusivo Collahuasi)" queryTableFieldId="70"/>
    <tableColumn id="71" xr3:uid="{81209E2B-A339-4981-9171-570CF4135AC0}" uniqueName="71" name="Bono Q2 (Exclusivo Collahuasi)" queryTableFieldId="71"/>
    <tableColumn id="72" xr3:uid="{31F544B1-D673-4BBF-87D3-2B7997A2A861}" uniqueName="72" name="Bono Q3 (Exclusivo Collahuasi)" queryTableFieldId="72"/>
    <tableColumn id="73" xr3:uid="{82AFED93-169C-444D-95BC-47B1DFCA5F98}" uniqueName="73" name="Bono Q4 (Exclusivo Collahuasi)" queryTableFieldId="73"/>
    <tableColumn id="74" xr3:uid="{0380E58A-97EF-4D81-9E1C-34A999773916}" uniqueName="74" name="Bono RSA (Exclusivo Collahuasi)" queryTableFieldId="74"/>
    <tableColumn id="75" xr3:uid="{C413AB96-1602-4910-848A-62699237A9EB}" uniqueName="75" name="1044-Asignación Colación" queryTableFieldId="75"/>
    <tableColumn id="76" xr3:uid="{9F6EF501-4D5F-4A48-BDAC-0B491E218AF7}" uniqueName="76" name="Justificación Asignacion Colacion" queryTableFieldId="76"/>
    <tableColumn id="77" xr3:uid="{13235E3E-5CC5-4864-AE5A-338568EA7EB2}" uniqueName="77" name="1165-Asignación Movilización 2" queryTableFieldId="77"/>
    <tableColumn id="78" xr3:uid="{7667875B-D824-4ED7-BB89-CF7ADB3344A2}" uniqueName="78" name="Justificación Asignación Movilización 2" queryTableFieldId="78"/>
    <tableColumn id="79" xr3:uid="{CA61A91B-1B66-4FD4-B9A1-E7FADF73CE27}" uniqueName="79" name="1172-Viatico 2" queryTableFieldId="79"/>
    <tableColumn id="80" xr3:uid="{29A8D607-A009-4BD9-A016-CB4EDEF4A39F}" uniqueName="80" name="Justificación Viatico" queryTableFieldId="80"/>
    <tableColumn id="81" xr3:uid="{E9C86708-F60E-4C73-8B9D-6100640A6624}" uniqueName="81" name="SALA CUNA" queryTableFieldId="81"/>
    <tableColumn id="82" xr3:uid="{F8D14633-D9D4-49EA-B4BA-CD6A94F63025}" uniqueName="82" name="Justificaciión de Asignación (Detalle del beneficio)" queryTableFieldId="82"/>
    <tableColumn id="83" xr3:uid="{764290F6-4CFE-4294-9749-A6DD869AF5B7}" uniqueName="83" name="1032-Bono Escolaridad N/I" queryTableFieldId="83"/>
    <tableColumn id="84" xr3:uid="{27758F76-E7BE-49CF-8E2E-0773938927FA}" uniqueName="84" name="1124-Asignación familiar Retroactiva" queryTableFieldId="84"/>
    <tableColumn id="85" xr3:uid="{18AE4E69-C52D-4292-AAA1-641DFE6AE0C0}" uniqueName="85" name="Descuento por aporte voluntario" queryTableFieldId="85"/>
    <tableColumn id="86" xr3:uid="{17576066-F464-4735-A99B-24ABD3E53E7B}" uniqueName="86" name="Observaciones generales" queryTableFieldId="86"/>
    <tableColumn id="87" xr3:uid="{1B766544-3E1A-4683-A544-CCA6D4330922}" uniqueName="87" name="ACUERDO MARCO ACCIONA-CODELCO" queryTableFieldId="87"/>
    <tableColumn id="88" xr3:uid="{4A363BA9-0EBD-4FBF-9F6F-CC425CCDB24C}" uniqueName="88" name="GRATIFICACION ACUERD MARCO ACCIONA-CODELCO2" queryTableFieldId="88"/>
    <tableColumn id="89" xr3:uid="{B226AF71-9AB4-4989-810A-87E1AF8CCC7A}" uniqueName="89" name="DIAS ADICIONALES CHIQUICAMATA" queryTableFieldId="89"/>
    <tableColumn id="90" xr3:uid="{08D3E6A3-926C-423E-8DE2-2CD0447391D0}" uniqueName="90" name=" BONO PARTICIPACION CHIQUI" queryTableFieldId="90"/>
    <tableColumn id="91" xr3:uid="{2CD89791-84A7-449C-8B4A-AECE7025E902}" uniqueName="91" name="RETENCION JUDICIAL" queryTableFieldId="91"/>
    <tableColumn id="92" xr3:uid="{7274F7F8-8236-4358-A033-8B908C872888}" uniqueName="92" name="PRESTAMO EMPRESA" queryTableFieldId="92"/>
    <tableColumn id="93" xr3:uid="{EA832ED8-750F-4D76-BF7B-0E3E53DC3127}" uniqueName="93" name="LOS HEROES" queryTableFieldId="93" dataDxfId="52">
      <calculatedColumnFormula>VLOOKUP(C2,'LOS HEROES'!$A$2:$D$30,4,0)</calculatedColumnFormula>
    </tableColumn>
    <tableColumn id="94" xr3:uid="{E88EB37F-8E36-445D-977B-F88B56CB4FD9}" uniqueName="94" name="LA ARAUCANA" queryTableFieldId="94" dataDxfId="51">
      <calculatedColumnFormula>VLOOKUP(C2,'LA ARAUCANA'!$A$2:$D$5,4,0)</calculatedColumnFormula>
    </tableColumn>
    <tableColumn id="95" xr3:uid="{3A172FC0-2C6E-4865-ABA2-9ADFAA0774C9}" uniqueName="95" name="SEGURO" queryTableFieldId="95" dataDxfId="50">
      <calculatedColumnFormula>VLOOKUP(C2,SEGURO!$A$2:$C$28,3,0)</calculatedColumnFormula>
    </tableColumn>
    <tableColumn id="96" xr3:uid="{2519279A-7021-4032-BEBF-5B1055AAA0FC}" uniqueName="96" name="FALP" queryTableFieldId="96" dataDxfId="49">
      <calculatedColumnFormula>VLOOKUP(C2,FALP!$A$2:$C$13,3,0)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85E4A-ACBD-4F9B-A298-A2E82327955D}" name="_04_2026_OF" displayName="_04_2026_OF" ref="A1:CL29" tableType="queryTable" totalsRowShown="0">
  <autoFilter ref="A1:CL29" xr:uid="{D8985E4A-ACBD-4F9B-A298-A2E82327955D}"/>
  <tableColumns count="90">
    <tableColumn id="1" xr3:uid="{7372F8FE-2379-456B-8433-8DCE0BE42A36}" uniqueName="1" name="Nº" queryTableFieldId="1"/>
    <tableColumn id="2" xr3:uid="{4B5E01C5-5AD9-4A97-AC77-FF4EFE0B8D5D}" uniqueName="2" name="RUT (sin puntos y con guion)" queryTableFieldId="2" dataDxfId="48"/>
    <tableColumn id="3" xr3:uid="{0203478F-B4C0-4F56-9DAA-B48F7CE170A3}" uniqueName="3" name="ID (rut sin puntos, sin guión ni digito vertificador)" queryTableFieldId="3"/>
    <tableColumn id="4" xr3:uid="{18E3EBA4-55E9-47FA-91FF-99914F95FF9E}" uniqueName="4" name="APELLIDO PATERNO" queryTableFieldId="4" dataDxfId="47"/>
    <tableColumn id="5" xr3:uid="{A942C271-E499-44D3-9594-DAF9F22D0D53}" uniqueName="5" name="APELLIDO MATERNO" queryTableFieldId="5" dataDxfId="46"/>
    <tableColumn id="6" xr3:uid="{01FE4D37-5047-40D3-9ADB-5B1A471867E1}" uniqueName="6" name="NOMBRES" queryTableFieldId="6" dataDxfId="45"/>
    <tableColumn id="7" xr3:uid="{FF229E61-CC01-4461-908A-523B39EB13F1}" uniqueName="7" name="CARGO" queryTableFieldId="7" dataDxfId="44"/>
    <tableColumn id="8" xr3:uid="{AB62AC69-07ED-44C8-B470-DA66C0784A23}" uniqueName="8" name="INICIO DE CONTRATO" queryTableFieldId="8" dataDxfId="43"/>
    <tableColumn id="9" xr3:uid="{95BD9954-2A6E-44CA-8DCE-920B63F36373}" uniqueName="9" name="D/I" queryTableFieldId="9" dataDxfId="42"/>
    <tableColumn id="10" xr3:uid="{54F43AF0-9915-4152-8FC3-89547B58E7D1}" uniqueName="10" name="GENERO M/F" queryTableFieldId="10" dataDxfId="41"/>
    <tableColumn id="11" xr3:uid="{9FE0F2DC-F4DB-45FA-BACC-4D9695245AB0}" uniqueName="11" name="TURNO (5x2-4x3-14x14 -art22)" queryTableFieldId="11" dataDxfId="40"/>
    <tableColumn id="12" xr3:uid="{DC917B20-215D-491D-8B55-2D265715A12E}" uniqueName="12" name="CC" queryTableFieldId="12"/>
    <tableColumn id="13" xr3:uid="{467B6290-5B9B-4259-8A7A-06FC8F0501C8}" uniqueName="13" name="1" queryTableFieldId="13"/>
    <tableColumn id="14" xr3:uid="{D903CEF1-F640-4433-83CB-7AD3A9B9D942}" uniqueName="14" name="2" queryTableFieldId="14"/>
    <tableColumn id="15" xr3:uid="{91943ABE-3C8F-42CC-9910-178C49971B24}" uniqueName="15" name="3" queryTableFieldId="15"/>
    <tableColumn id="16" xr3:uid="{3E659EE3-7D6D-4EDB-B486-0860069581DE}" uniqueName="16" name="4" queryTableFieldId="16"/>
    <tableColumn id="17" xr3:uid="{F7186642-9CC5-468C-A49E-8293F10CFBDE}" uniqueName="17" name="5" queryTableFieldId="17"/>
    <tableColumn id="18" xr3:uid="{E561284D-CBF6-4AF8-A396-165695762FCB}" uniqueName="18" name="6" queryTableFieldId="18"/>
    <tableColumn id="19" xr3:uid="{8F3C2408-A312-42A5-9524-BC03C292F893}" uniqueName="19" name="7" queryTableFieldId="19"/>
    <tableColumn id="20" xr3:uid="{9F223802-FED1-4171-9694-1D428970DA60}" uniqueName="20" name="8" queryTableFieldId="20"/>
    <tableColumn id="21" xr3:uid="{422D4613-D72F-494C-81EC-9A6B36BFCE7A}" uniqueName="21" name="9" queryTableFieldId="21"/>
    <tableColumn id="22" xr3:uid="{1DC04B1D-1C36-415D-B9BA-13C49AC2DAA0}" uniqueName="22" name="10" queryTableFieldId="22"/>
    <tableColumn id="23" xr3:uid="{5123AE6D-B907-4C93-A9F6-45A9B79A7CB7}" uniqueName="23" name="11" queryTableFieldId="23"/>
    <tableColumn id="24" xr3:uid="{1A3CE037-1BC2-408F-BA4D-344D9EC89C2D}" uniqueName="24" name="12" queryTableFieldId="24"/>
    <tableColumn id="25" xr3:uid="{04F3FB10-25DC-448E-89AD-B55E2E72C82D}" uniqueName="25" name="13" queryTableFieldId="25"/>
    <tableColumn id="26" xr3:uid="{39E16071-6B8D-4557-B2B4-202D2D4A224C}" uniqueName="26" name="14" queryTableFieldId="26"/>
    <tableColumn id="27" xr3:uid="{0E2B36D1-9E87-4C49-8F10-20A629BA71BF}" uniqueName="27" name="15" queryTableFieldId="27"/>
    <tableColumn id="28" xr3:uid="{93CCE41E-73D7-4D1B-A344-952E77BCEC27}" uniqueName="28" name="16" queryTableFieldId="28"/>
    <tableColumn id="29" xr3:uid="{3D2ACC4B-4C0A-4C31-90F4-930EA0BF936D}" uniqueName="29" name="17" queryTableFieldId="29"/>
    <tableColumn id="30" xr3:uid="{C237C915-D001-4C0E-985F-B407D59FB48C}" uniqueName="30" name="18" queryTableFieldId="30"/>
    <tableColumn id="31" xr3:uid="{19D015F7-AE71-4582-A7AD-20546C23E558}" uniqueName="31" name="19" queryTableFieldId="31"/>
    <tableColumn id="32" xr3:uid="{8A101B89-29BE-4505-B16F-78279C79BBD8}" uniqueName="32" name="20" queryTableFieldId="32"/>
    <tableColumn id="33" xr3:uid="{AA47B77D-9C86-47A4-B7A4-347CACE8112C}" uniqueName="33" name="21" queryTableFieldId="33"/>
    <tableColumn id="34" xr3:uid="{6262572A-72A7-4F2D-AF58-C20DD4174D55}" uniqueName="34" name="22" queryTableFieldId="34"/>
    <tableColumn id="35" xr3:uid="{999BF97A-C7C2-41BD-BA7B-B0DA5CD91183}" uniqueName="35" name="23" queryTableFieldId="35"/>
    <tableColumn id="36" xr3:uid="{4FCB247F-80F5-40EC-AD58-617B29D7FF04}" uniqueName="36" name="24" queryTableFieldId="36"/>
    <tableColumn id="37" xr3:uid="{CE196687-D540-4C74-8142-B8501A0681BF}" uniqueName="37" name="25" queryTableFieldId="37"/>
    <tableColumn id="38" xr3:uid="{0C1E0A06-2C92-48DD-8559-A104294F834A}" uniqueName="38" name="26" queryTableFieldId="38"/>
    <tableColumn id="39" xr3:uid="{C34ABB22-119A-49AC-B018-34CA8B188FBB}" uniqueName="39" name="27" queryTableFieldId="39"/>
    <tableColumn id="40" xr3:uid="{06597A41-A500-497F-8035-25949A8CEFC7}" uniqueName="40" name="28" queryTableFieldId="40"/>
    <tableColumn id="41" xr3:uid="{B8753439-FAC4-4DB8-8FE5-D74CEF15F2F7}" uniqueName="41" name="29" queryTableFieldId="41"/>
    <tableColumn id="42" xr3:uid="{AC5AE259-BB62-4D14-A974-30BA1725872C}" uniqueName="42" name="30" queryTableFieldId="42"/>
    <tableColumn id="43" xr3:uid="{55171848-2656-4177-B5C4-B17761CC6F2A}" uniqueName="43" name="31" queryTableFieldId="43"/>
    <tableColumn id="44" xr3:uid="{30A50D1A-FEB8-41CA-B523-723697603C8E}" uniqueName="44" name="(1)" queryTableFieldId="44"/>
    <tableColumn id="45" xr3:uid="{DEDF2413-5571-4BF2-8BB6-244F59F0204F}" uniqueName="45" name="(2)" queryTableFieldId="45"/>
    <tableColumn id="46" xr3:uid="{5B5D8FEF-CAA0-4EF8-A2C9-A70EE2F7AEE4}" uniqueName="46" name="(3)" queryTableFieldId="46"/>
    <tableColumn id="47" xr3:uid="{DB15DAFF-03EE-48AD-BD3F-11B2C47985D4}" uniqueName="47" name="(4)" queryTableFieldId="47"/>
    <tableColumn id="48" xr3:uid="{1A18CA38-FA75-4AA6-9DF2-9EFA5B688F52}" uniqueName="48" name="(5)" queryTableFieldId="48"/>
    <tableColumn id="49" xr3:uid="{20F71C0E-2946-49C8-A91A-EF61401DB890}" uniqueName="49" name="(6)" queryTableFieldId="49"/>
    <tableColumn id="50" xr3:uid="{8705EE83-2601-4397-B66C-D73A0D150AD8}" uniqueName="50" name="(7)" queryTableFieldId="50"/>
    <tableColumn id="51" xr3:uid="{8E9D85DA-9DB2-449F-A529-22EBE127B0D8}" uniqueName="51" name="(8)" queryTableFieldId="51"/>
    <tableColumn id="52" xr3:uid="{39FA7326-D969-404E-8F8A-843CAE44CD1C}" uniqueName="52" name="(9)" queryTableFieldId="52"/>
    <tableColumn id="53" xr3:uid="{8BB5B2FF-D4F5-4AFF-8E82-47A188A007AD}" uniqueName="53" name="T.D.T." queryTableFieldId="53"/>
    <tableColumn id="54" xr3:uid="{E8FAC592-4B00-472F-9E55-03A9BAF21644}" uniqueName="54" name="1033-Bono Gestión Variable" queryTableFieldId="54"/>
    <tableColumn id="55" xr3:uid="{B466C56F-99CF-4882-A9BB-97A967CB9667}" uniqueName="55" name="1029-Bono Compensatorio descanso" queryTableFieldId="55"/>
    <tableColumn id="56" xr3:uid="{4EC2E6DD-1D8F-4FF0-9297-FDC23E046D60}" uniqueName="56" name="Justificación Bono 10-29 (Compensatorio descanso)" queryTableFieldId="56"/>
    <tableColumn id="57" xr3:uid="{0D8BC16A-71EB-4CD5-B468-ED6DC20B9874}" uniqueName="57" name="1034-Bono Incentivo variable" queryTableFieldId="57"/>
    <tableColumn id="58" xr3:uid="{87388FC6-0958-427F-9EBD-023AB8402ACB}" uniqueName="58" name="Justificación Bono 1034 (Incentivo variable)" queryTableFieldId="58" dataDxfId="39"/>
    <tableColumn id="59" xr3:uid="{FA3E800E-7742-4D86-89F6-EC21C18A09EC}" uniqueName="59" name="1140-Bono Responsabilidad 2" queryTableFieldId="59"/>
    <tableColumn id="60" xr3:uid="{2A82FF7F-993F-4E18-B020-4D735F732389}" uniqueName="60" name="Justificación 1140 (Bono Responsabilidad)" queryTableFieldId="60"/>
    <tableColumn id="61" xr3:uid="{757EB6F3-995F-4511-B258-8A9212DDEF48}" uniqueName="61" name="1041-Bono Terreno (Exclusivo proyecto Techint-CMDIC)" queryTableFieldId="61"/>
    <tableColumn id="62" xr3:uid="{9CD54996-3CA3-4BD4-9E3A-FDD409877CD4}" uniqueName="62" name="1031-Bono Escolaridad I/T (Uso exclusivo Area de Compensaciones)" queryTableFieldId="62"/>
    <tableColumn id="63" xr3:uid="{C7433021-D611-4FCC-B5F0-07BE618B0BD8}" uniqueName="63" name="1092-Diferencia de haber" queryTableFieldId="63"/>
    <tableColumn id="64" xr3:uid="{C0C0F20B-03D2-497F-8E8B-797C9C49C8C8}" uniqueName="64" name="Justificación Bono 1092 (Diferencia de Haber)" queryTableFieldId="64"/>
    <tableColumn id="65" xr3:uid="{4F2910CF-C444-4546-8D33-126AD881980B}" uniqueName="65" name="Cantidad de feriados del mes" queryTableFieldId="65"/>
    <tableColumn id="66" xr3:uid="{95C38136-DC19-4846-AD82-9CAC47958029}" uniqueName="66" name="1082-Bono Compens. Feriado" queryTableFieldId="66"/>
    <tableColumn id="67" xr3:uid="{6DF2F9A7-A51D-4ADC-9D9F-69A38092AE63}" uniqueName="67" name="1020-Aguinaldo I/T" queryTableFieldId="67"/>
    <tableColumn id="68" xr3:uid="{5780696D-FD53-4ED0-BC4A-378798B3830E}" uniqueName="68" name="1140-Bono de Permanencia (Plan de Beneficios)" queryTableFieldId="68"/>
    <tableColumn id="69" xr3:uid="{96D0078E-4787-4900-A7A5-28126AF91F9B}" uniqueName="69" name="Bono Seguridad BESALCO-MEL" queryTableFieldId="69"/>
    <tableColumn id="70" xr3:uid="{68EE2FDA-4D39-40AF-A24F-29B3100B29FB}" uniqueName="70" name="Bono Q1 (Exclusivo Collahuasi)" queryTableFieldId="70"/>
    <tableColumn id="71" xr3:uid="{EDD3A6A9-52C6-42BD-87AD-5D4EA4CDC8DF}" uniqueName="71" name="Bono Q2 (Exclusivo Collahuasi)" queryTableFieldId="71"/>
    <tableColumn id="72" xr3:uid="{CE414114-824E-47BA-B65E-A998450D0A50}" uniqueName="72" name="Bono Q3 (Exclusivo Collahuasi)" queryTableFieldId="72"/>
    <tableColumn id="73" xr3:uid="{C1D1645A-DE96-4434-A4D5-A3632E058299}" uniqueName="73" name="Bono Q4 (Exclusivo Collahuasi)" queryTableFieldId="73"/>
    <tableColumn id="74" xr3:uid="{F6F0E60B-A214-4003-B316-164A3E00CB55}" uniqueName="74" name="Bono RSA (Exclusivo Collahuasi)" queryTableFieldId="74"/>
    <tableColumn id="75" xr3:uid="{2B67C92A-E596-48C0-B02F-F6137F0079D7}" uniqueName="75" name="1044-Asignación Colación" queryTableFieldId="75"/>
    <tableColumn id="76" xr3:uid="{C43FD010-3BB7-449D-8CAF-8922FBEF8F80}" uniqueName="76" name="Justificación Asignacion Colacion" queryTableFieldId="76"/>
    <tableColumn id="77" xr3:uid="{F2AD9860-FA93-478A-A45A-3C830E23DD31}" uniqueName="77" name="1165-Asignación Movilización 2" queryTableFieldId="77"/>
    <tableColumn id="78" xr3:uid="{7F9AAF98-7F68-4A45-8CCF-709FB6ACB19A}" uniqueName="78" name="Justificación Asignación Movilización 2" queryTableFieldId="78"/>
    <tableColumn id="79" xr3:uid="{1D2ABC9E-4371-41E3-A94A-9057290EB275}" uniqueName="79" name="1172-Viatico 2" queryTableFieldId="79"/>
    <tableColumn id="80" xr3:uid="{A326EA01-CACD-4663-85D8-2283F2FEFDDC}" uniqueName="80" name="Justificación Viatico" queryTableFieldId="80" dataDxfId="38"/>
    <tableColumn id="81" xr3:uid="{70CEEE7E-CF0B-49CA-BE28-96DCBFD9B58E}" uniqueName="81" name="1073-Otras Asignaciones N/I (Beneficios)" queryTableFieldId="81"/>
    <tableColumn id="82" xr3:uid="{5019DDA4-F445-48C1-B40E-898F424493F9}" uniqueName="82" name="Justificaciión de Asignación (Detalle del beneficio)" queryTableFieldId="82"/>
    <tableColumn id="83" xr3:uid="{7E460D76-6BD6-4D7B-B0D3-FB0A705C9D25}" uniqueName="83" name="1032-Bono Escolaridad N/I" queryTableFieldId="83"/>
    <tableColumn id="84" xr3:uid="{85024D77-B4E7-4434-B051-5DE6F0551F3F}" uniqueName="84" name="1124-Asignación familiar Retroactiva" queryTableFieldId="84"/>
    <tableColumn id="85" xr3:uid="{9AADA9A9-1747-4B58-992F-5B81CE2638D0}" uniqueName="85" name="Descuento por aporte voluntario" queryTableFieldId="85"/>
    <tableColumn id="86" xr3:uid="{45A8101D-E62E-4837-9F4B-9DCC2F5C8E9D}" uniqueName="86" name="Observaciones generales" queryTableFieldId="86" dataDxfId="37"/>
    <tableColumn id="87" xr3:uid="{643E3F82-A0E8-49CC-A64E-D2D3DDEE4558}" uniqueName="87" name="ACUERDO MARCO ACCIONA-CODELCO" queryTableFieldId="87"/>
    <tableColumn id="88" xr3:uid="{F58D758C-DE51-450C-8718-8FEEBB9569DD}" uniqueName="88" name="GRATIFICACION ACUERD MARCO ACCIONA-CODELCO2" queryTableFieldId="88"/>
    <tableColumn id="89" xr3:uid="{13A06774-AE57-493F-BA55-DB599B045D7E}" uniqueName="89" name="DIAS ADICIONALES CHIQUICAMATA" queryTableFieldId="89"/>
    <tableColumn id="90" xr3:uid="{BF2ED7D9-EA78-4D45-981F-801EAFFF0804}" uniqueName="90" name=" BONO PARTICIPACION CHIQUI" queryTableFieldId="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776ADC-AD50-433E-9889-A5429E4B59F9}" name="_04_2026_Techint_RT" displayName="_04_2026_Techint_RT" ref="A1:CL47" tableType="queryTable" totalsRowShown="0">
  <autoFilter ref="A1:CL47" xr:uid="{83776ADC-AD50-433E-9889-A5429E4B59F9}"/>
  <tableColumns count="90">
    <tableColumn id="1" xr3:uid="{4C7A18CE-22E7-4B9E-A670-94AC3A605C00}" uniqueName="1" name="Nº" queryTableFieldId="1"/>
    <tableColumn id="2" xr3:uid="{70CD2544-4F30-4806-9810-DFFEBC281737}" uniqueName="2" name="RUT (sin puntos y con guion)" queryTableFieldId="2" dataDxfId="36"/>
    <tableColumn id="3" xr3:uid="{C44EE049-38AC-4BFD-AC94-0DEE31898323}" uniqueName="3" name="ID (rut sin puntos, sin guión ni digito vertificador)" queryTableFieldId="3"/>
    <tableColumn id="4" xr3:uid="{78E7FE1B-76A2-4EDC-A4EF-E9EE3CFEB868}" uniqueName="4" name="APELLIDO PATERNO" queryTableFieldId="4" dataDxfId="35"/>
    <tableColumn id="5" xr3:uid="{22FD2762-2ED6-4624-9BFB-BEF67E308BE2}" uniqueName="5" name="APELLIDO MATERNO" queryTableFieldId="5" dataDxfId="34"/>
    <tableColumn id="6" xr3:uid="{60D083ED-566A-474A-B783-A0FAF581BAC3}" uniqueName="6" name="NOMBRES" queryTableFieldId="6" dataDxfId="33"/>
    <tableColumn id="7" xr3:uid="{7A43EC68-B6D2-49BB-8CFE-58578112EBE0}" uniqueName="7" name="CARGO" queryTableFieldId="7" dataDxfId="32"/>
    <tableColumn id="8" xr3:uid="{41CC03D6-4AC1-47ED-A192-84148190B281}" uniqueName="8" name="INICIO DE CONTRATO" queryTableFieldId="8" dataDxfId="31"/>
    <tableColumn id="9" xr3:uid="{EBB1512D-D811-42F7-9C06-4BBF514BE3BA}" uniqueName="9" name="D/I" queryTableFieldId="9" dataDxfId="30"/>
    <tableColumn id="10" xr3:uid="{54A8CBF2-EB39-4D09-8C49-0733D6CFDDEF}" uniqueName="10" name="GENERO M/F" queryTableFieldId="10" dataDxfId="29"/>
    <tableColumn id="11" xr3:uid="{6CBCEC28-9D4F-4CD5-A404-382A23460957}" uniqueName="11" name="TURNO (5x2-4x3-14x14 -art22)" queryTableFieldId="11" dataDxfId="28"/>
    <tableColumn id="12" xr3:uid="{4379A3FB-D5A1-41A3-851F-85E0672B209D}" uniqueName="12" name="CC" queryTableFieldId="12"/>
    <tableColumn id="13" xr3:uid="{55DF8188-0CA8-4A8B-A4C1-64BCAB2AA177}" uniqueName="13" name="1" queryTableFieldId="13"/>
    <tableColumn id="14" xr3:uid="{6DEC9321-DE2B-4F51-9E43-A7CCC86F232E}" uniqueName="14" name="2" queryTableFieldId="14"/>
    <tableColumn id="15" xr3:uid="{B3326AFE-2FB9-4F10-8056-5D0DF522AF2C}" uniqueName="15" name="3" queryTableFieldId="15"/>
    <tableColumn id="16" xr3:uid="{63EA6FA4-CCC9-4F53-9836-00976B544CE2}" uniqueName="16" name="4" queryTableFieldId="16"/>
    <tableColumn id="17" xr3:uid="{0E3C9611-55CB-4108-A91B-1AA69AE414E1}" uniqueName="17" name="5" queryTableFieldId="17"/>
    <tableColumn id="18" xr3:uid="{516A8F83-DEC6-453B-A1D9-512FABA9CD6B}" uniqueName="18" name="6" queryTableFieldId="18"/>
    <tableColumn id="19" xr3:uid="{DAB9D2F3-3950-4CA7-9BD7-03B984925E4E}" uniqueName="19" name="7" queryTableFieldId="19"/>
    <tableColumn id="20" xr3:uid="{B5922A4E-69FE-42B9-B79C-60F722C5AB2C}" uniqueName="20" name="8" queryTableFieldId="20"/>
    <tableColumn id="21" xr3:uid="{E5792422-6F55-40E8-91EF-36CC1FDE6FD6}" uniqueName="21" name="9" queryTableFieldId="21"/>
    <tableColumn id="22" xr3:uid="{1F9064BB-0F2A-47B2-9660-42E02793A0E3}" uniqueName="22" name="10" queryTableFieldId="22"/>
    <tableColumn id="23" xr3:uid="{D7195B18-E30F-47C2-B3EC-96A525B6116C}" uniqueName="23" name="11" queryTableFieldId="23"/>
    <tableColumn id="24" xr3:uid="{A36C92FD-5B6F-455E-80C5-56D2104A5A3A}" uniqueName="24" name="12" queryTableFieldId="24"/>
    <tableColumn id="25" xr3:uid="{FB8E9E49-2A89-41E4-A2F3-0B951B30878E}" uniqueName="25" name="13" queryTableFieldId="25"/>
    <tableColumn id="26" xr3:uid="{0421EF76-0EB1-418D-AC3C-7B463B1CB772}" uniqueName="26" name="14" queryTableFieldId="26"/>
    <tableColumn id="27" xr3:uid="{DB1BF7B9-B644-4456-B396-102C21FF06CF}" uniqueName="27" name="15" queryTableFieldId="27"/>
    <tableColumn id="28" xr3:uid="{1FB44F94-2F84-4873-A8D7-17A7DC79C6CC}" uniqueName="28" name="16" queryTableFieldId="28"/>
    <tableColumn id="29" xr3:uid="{4B4FB96B-744A-437D-AD88-37BFE825F7B2}" uniqueName="29" name="17" queryTableFieldId="29"/>
    <tableColumn id="30" xr3:uid="{8F17B493-8ABD-4FAF-B62C-970E60028E37}" uniqueName="30" name="18" queryTableFieldId="30"/>
    <tableColumn id="31" xr3:uid="{F2C57536-1B8D-4E96-99D1-8D87FDB2B475}" uniqueName="31" name="19" queryTableFieldId="31"/>
    <tableColumn id="32" xr3:uid="{3C752513-9294-42B9-9DA9-8E413E8699DD}" uniqueName="32" name="20" queryTableFieldId="32"/>
    <tableColumn id="33" xr3:uid="{AFD883A5-A075-4B1A-A16C-796CC4663B73}" uniqueName="33" name="21" queryTableFieldId="33"/>
    <tableColumn id="34" xr3:uid="{0F954C79-8205-41AC-9B71-E5CBE0A5C934}" uniqueName="34" name="22" queryTableFieldId="34"/>
    <tableColumn id="35" xr3:uid="{35332E52-26F6-43BE-9BBB-BA7906B6C31F}" uniqueName="35" name="23" queryTableFieldId="35"/>
    <tableColumn id="36" xr3:uid="{AFBCD9F4-2226-4B7C-8109-7BF9E28123F8}" uniqueName="36" name="24" queryTableFieldId="36"/>
    <tableColumn id="37" xr3:uid="{B1C36C86-87B8-4792-B57D-6413B43CA862}" uniqueName="37" name="25" queryTableFieldId="37"/>
    <tableColumn id="38" xr3:uid="{47868915-24AE-430C-B3C1-BFE3607ACFBE}" uniqueName="38" name="26" queryTableFieldId="38"/>
    <tableColumn id="39" xr3:uid="{93DE04B8-9B84-4910-852F-D77A14271151}" uniqueName="39" name="27" queryTableFieldId="39"/>
    <tableColumn id="40" xr3:uid="{1665B0FD-E8CD-40CA-8779-6C7D700C06A0}" uniqueName="40" name="28" queryTableFieldId="40"/>
    <tableColumn id="41" xr3:uid="{3911E5D8-8363-478A-AB5C-6D60EFD3B300}" uniqueName="41" name="29" queryTableFieldId="41"/>
    <tableColumn id="42" xr3:uid="{AEA5D682-3DBC-4467-BEA1-F3CA4C1D30FE}" uniqueName="42" name="30" queryTableFieldId="42"/>
    <tableColumn id="43" xr3:uid="{901B78FE-BE43-4B24-B23E-DBE6752D99A0}" uniqueName="43" name="31" queryTableFieldId="43"/>
    <tableColumn id="44" xr3:uid="{FDF38A0D-8BC5-40B6-9C82-DF672FE91769}" uniqueName="44" name="(1)" queryTableFieldId="44"/>
    <tableColumn id="45" xr3:uid="{59AD2A4A-3AF1-4CE6-80B8-3B98B75AEA53}" uniqueName="45" name="(2)" queryTableFieldId="45"/>
    <tableColumn id="46" xr3:uid="{ECDF381E-D48C-4E5B-A349-034A23186CA8}" uniqueName="46" name="(3)" queryTableFieldId="46"/>
    <tableColumn id="47" xr3:uid="{EE11C6AE-3B76-4123-A29C-148D1B4875FA}" uniqueName="47" name="(4)" queryTableFieldId="47"/>
    <tableColumn id="48" xr3:uid="{A8DF21FE-0BB3-423E-84FE-E8B774F4450C}" uniqueName="48" name="(5)" queryTableFieldId="48"/>
    <tableColumn id="49" xr3:uid="{CCAA71E8-ED53-4EA4-8BD4-7FF859CA7D99}" uniqueName="49" name="(6)" queryTableFieldId="49"/>
    <tableColumn id="50" xr3:uid="{693DCFC6-8A62-4178-B544-EBF653EA0A2E}" uniqueName="50" name="(7)" queryTableFieldId="50"/>
    <tableColumn id="51" xr3:uid="{B556F5F8-C384-41D8-BEB0-A3157823D2D6}" uniqueName="51" name="(8)" queryTableFieldId="51"/>
    <tableColumn id="52" xr3:uid="{65DBEDC4-2E0B-48F4-8C51-10546157A4A4}" uniqueName="52" name="(9)" queryTableFieldId="52"/>
    <tableColumn id="53" xr3:uid="{DC442D64-B884-4009-853D-A73AF19FC6C9}" uniqueName="53" name="T.D.T." queryTableFieldId="53"/>
    <tableColumn id="54" xr3:uid="{CD8E2E1F-7908-433F-B10B-0A9BDC1562C5}" uniqueName="54" name="1033-Bono Gestión Variable" queryTableFieldId="54"/>
    <tableColumn id="55" xr3:uid="{5E6B6D97-C145-415B-8CED-C8395E6C828B}" uniqueName="55" name="1029-Bono Compensatorio descanso" queryTableFieldId="55"/>
    <tableColumn id="56" xr3:uid="{AC6BFEF1-51CE-4C7F-AE1E-D70C0FB71216}" uniqueName="56" name="Justificación Bono 10-29 (Compensatorio descanso)" queryTableFieldId="56" dataDxfId="27"/>
    <tableColumn id="57" xr3:uid="{14CCA85B-7CF5-486B-8B78-2C09F8811A52}" uniqueName="57" name="1034-Bono Incentivo variable" queryTableFieldId="57"/>
    <tableColumn id="58" xr3:uid="{BCFDDA95-8907-4CC6-8521-C343698BC460}" uniqueName="58" name="Justificación Bono 1034 (Incentivo variable)" queryTableFieldId="58" dataDxfId="26"/>
    <tableColumn id="59" xr3:uid="{6B43E45A-A814-4FB0-80C2-54F7C75831DD}" uniqueName="59" name="1140-Bono Responsabilidad 2" queryTableFieldId="59"/>
    <tableColumn id="60" xr3:uid="{AD7F841F-013C-4064-BD87-F7D27D40AD1F}" uniqueName="60" name="Justificación 1140 (Bono Responsabilidad)" queryTableFieldId="60" dataDxfId="25"/>
    <tableColumn id="61" xr3:uid="{17079166-DAC7-4E6C-9419-A91557984CE5}" uniqueName="61" name="1041-Bono Terreno (Exclusivo proyecto Techint-CMDIC)" queryTableFieldId="61"/>
    <tableColumn id="62" xr3:uid="{15EBDF7E-34D7-4FDF-8A13-858FF03D06B0}" uniqueName="62" name="1031-Bono Escolaridad I/T (Uso exclusivo Area de Compensaciones)" queryTableFieldId="62"/>
    <tableColumn id="63" xr3:uid="{C73492F1-9D1B-42CB-99C4-8E9B101F080A}" uniqueName="63" name="1092-Diferencia de haber" queryTableFieldId="63"/>
    <tableColumn id="64" xr3:uid="{22F1935E-64CC-4825-945C-89489CF46638}" uniqueName="64" name="Justificación Bono 1092 (Diferencia de Haber)" queryTableFieldId="64"/>
    <tableColumn id="65" xr3:uid="{421AE747-687E-4A58-B445-1311BFD8E524}" uniqueName="65" name="Cantidad de feriados del mes" queryTableFieldId="65"/>
    <tableColumn id="66" xr3:uid="{B5345878-8DF4-4440-899F-7B4AA1BC7190}" uniqueName="66" name="1082-Bono Compens. Feriado" queryTableFieldId="66"/>
    <tableColumn id="67" xr3:uid="{2A648B62-28F4-4AE8-8115-172DFA042C26}" uniqueName="67" name="1020-Aguinaldo I/T" queryTableFieldId="67"/>
    <tableColumn id="68" xr3:uid="{C42C3C7D-C409-4447-AB18-500634FCC248}" uniqueName="68" name="1140-Bono de Permanencia (Plan de Beneficios)" queryTableFieldId="68"/>
    <tableColumn id="69" xr3:uid="{8D07F21B-2BDF-4580-9D99-F18BC83E6BD5}" uniqueName="69" name="Bono Seguridad BESALCO-MEL" queryTableFieldId="69"/>
    <tableColumn id="70" xr3:uid="{220A739A-9DA2-4E82-A6F1-F00BF093AB64}" uniqueName="70" name="Bono Q1 (Exclusivo Collahuasi)" queryTableFieldId="70"/>
    <tableColumn id="71" xr3:uid="{1F5F8529-23E8-4DAC-A245-6A65B28AD373}" uniqueName="71" name="Bono Q2 (Exclusivo Collahuasi)" queryTableFieldId="71"/>
    <tableColumn id="72" xr3:uid="{ADFB520F-7912-497E-AF05-C5C7374E32D6}" uniqueName="72" name="Bono Q3 (Exclusivo Collahuasi)" queryTableFieldId="72"/>
    <tableColumn id="73" xr3:uid="{5520803F-FC2A-4A8F-9664-E0A633E909F7}" uniqueName="73" name="Bono Q4 (Exclusivo Collahuasi)" queryTableFieldId="73"/>
    <tableColumn id="74" xr3:uid="{6FC4B1FC-B072-4EB1-ADAE-8FFCCD181754}" uniqueName="74" name="Bono RSA (Exclusivo Collahuasi)" queryTableFieldId="74"/>
    <tableColumn id="75" xr3:uid="{EA84EA4A-C5AE-4EC2-956B-E4B63CA77D92}" uniqueName="75" name="1044-Asignación Colación" queryTableFieldId="75"/>
    <tableColumn id="76" xr3:uid="{1111C0BB-0F6B-492A-B394-7C08DB20D2D4}" uniqueName="76" name="Justificación Asignacion Colacion" queryTableFieldId="76"/>
    <tableColumn id="77" xr3:uid="{E57D1530-B870-46AF-823C-0E2350C006D0}" uniqueName="77" name="1165-Asignación Movilización 2" queryTableFieldId="77"/>
    <tableColumn id="78" xr3:uid="{950E53EE-FA17-4914-A258-3C4402431EBE}" uniqueName="78" name="Justificación Asignación Movilización 2" queryTableFieldId="78"/>
    <tableColumn id="79" xr3:uid="{4B179EDA-A164-4413-933F-5F270F55AA6B}" uniqueName="79" name="1172-Viatico 2" queryTableFieldId="79"/>
    <tableColumn id="80" xr3:uid="{9183ECE5-A7D1-4904-9BDC-26C22AF0E6D4}" uniqueName="80" name="Justificación Viatico" queryTableFieldId="80" dataDxfId="24"/>
    <tableColumn id="81" xr3:uid="{BAC140BC-C271-410A-B514-429A3B3929E5}" uniqueName="81" name="1073-Otras Asignaciones N/I (Beneficios)" queryTableFieldId="81"/>
    <tableColumn id="82" xr3:uid="{8E17B6A3-2D38-41B9-9531-79A1F13E8F2C}" uniqueName="82" name="Justificaciión de Asignación (Detalle del beneficio)" queryTableFieldId="82"/>
    <tableColumn id="83" xr3:uid="{D2287754-7D81-4157-9A91-075BC7CECE12}" uniqueName="83" name="1032-Bono Escolaridad N/I" queryTableFieldId="83"/>
    <tableColumn id="84" xr3:uid="{24D231D7-7E1C-4796-9436-AA1618802B56}" uniqueName="84" name="1124-Asignación familiar Retroactiva" queryTableFieldId="84"/>
    <tableColumn id="85" xr3:uid="{4C637161-45EA-4BC7-8A4B-717447EA43E0}" uniqueName="85" name="Descuento por aporte voluntario" queryTableFieldId="85"/>
    <tableColumn id="86" xr3:uid="{7F0620EB-711B-4746-A759-9EBCA26F5167}" uniqueName="86" name="Observaciones generales" queryTableFieldId="86"/>
    <tableColumn id="87" xr3:uid="{CCD0462C-3D8E-41A3-A7C2-51B4FFA07650}" uniqueName="87" name="ACUERDO MARCO ACCIONA-CODELCO" queryTableFieldId="87"/>
    <tableColumn id="88" xr3:uid="{2BDFED4F-2708-4F7A-B4B2-A9ED90614638}" uniqueName="88" name="GRATIFICACION ACUERD MARCO ACCIONA-CODELCO2" queryTableFieldId="88"/>
    <tableColumn id="89" xr3:uid="{853769BC-603F-4F9F-94C2-5F4CBDDFB907}" uniqueName="89" name="DIAS ADICIONALES CHIQUICAMATA" queryTableFieldId="89"/>
    <tableColumn id="90" xr3:uid="{B383DEC7-4053-46D8-896C-050E4B7A48B5}" uniqueName="90" name=" BONO PARTICIPACION CHIQUI" queryTableFieldId="9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533EE-90CC-48C3-96E7-FAA3BA4F89AA}" name="_04_2026_Caserones" displayName="_04_2026_Caserones" ref="A1:CL29" tableType="queryTable" totalsRowShown="0">
  <autoFilter ref="A1:CL29" xr:uid="{5DD533EE-90CC-48C3-96E7-FAA3BA4F89AA}"/>
  <tableColumns count="90">
    <tableColumn id="1" xr3:uid="{1445E4DA-C2F6-4E32-8233-10782AEA7D21}" uniqueName="1" name="Nº" queryTableFieldId="1"/>
    <tableColumn id="2" xr3:uid="{5E707D37-59A3-4DD8-89E6-8EC21140E647}" uniqueName="2" name="RUT (sin puntos y con guion)" queryTableFieldId="2" dataDxfId="23"/>
    <tableColumn id="3" xr3:uid="{1311D652-7362-4513-8B2E-7AC158291739}" uniqueName="3" name="ID (rut sin puntos, sin guión ni digito vertificador)" queryTableFieldId="3"/>
    <tableColumn id="4" xr3:uid="{B8BD4E27-E210-4A9E-A16C-8AF521DE4D05}" uniqueName="4" name="APELLIDO PATERNO" queryTableFieldId="4" dataDxfId="22"/>
    <tableColumn id="5" xr3:uid="{F2E0BBD6-E202-4B88-9B76-A2941FD6BD26}" uniqueName="5" name="APELLIDO MATERNO" queryTableFieldId="5" dataDxfId="21"/>
    <tableColumn id="6" xr3:uid="{1E4F3D93-81B6-4BC3-A4D9-CD772FE2E5DE}" uniqueName="6" name="NOMBRES" queryTableFieldId="6" dataDxfId="20"/>
    <tableColumn id="7" xr3:uid="{FCC708AF-2C26-4207-8469-36E23A694BC7}" uniqueName="7" name="CARGO" queryTableFieldId="7" dataDxfId="19"/>
    <tableColumn id="8" xr3:uid="{7A4BFC68-8356-4CC4-9737-5640FD167E62}" uniqueName="8" name="INICIO DE CONTRATO" queryTableFieldId="8" dataDxfId="18"/>
    <tableColumn id="9" xr3:uid="{AC70D2EF-FB70-4C8F-8C19-BACE0E6D3867}" uniqueName="9" name="D/I" queryTableFieldId="9" dataDxfId="17"/>
    <tableColumn id="10" xr3:uid="{D4A14139-03C0-4C39-AE65-3C5878D49EC1}" uniqueName="10" name="GENERO M/F" queryTableFieldId="10" dataDxfId="16"/>
    <tableColumn id="11" xr3:uid="{3ADA1A85-B681-460F-AA06-C054006ED529}" uniqueName="11" name="TURNO (5x2-4x3-14x14 -art22)" queryTableFieldId="11" dataDxfId="15"/>
    <tableColumn id="12" xr3:uid="{A789BBA4-E30F-4A31-A58E-232DB7C261FB}" uniqueName="12" name="CC" queryTableFieldId="12"/>
    <tableColumn id="13" xr3:uid="{5FD088DD-A9C6-42D9-84FF-135D6F32C771}" uniqueName="13" name="1" queryTableFieldId="13"/>
    <tableColumn id="14" xr3:uid="{573798A5-A635-4DE4-958F-74B0B47A3FFB}" uniqueName="14" name="2" queryTableFieldId="14"/>
    <tableColumn id="15" xr3:uid="{43CE06D2-9258-4C0C-8112-07B45A2EA8C6}" uniqueName="15" name="3" queryTableFieldId="15"/>
    <tableColumn id="16" xr3:uid="{4793E8B8-5001-4F65-A216-238A10B4CE0C}" uniqueName="16" name="4" queryTableFieldId="16"/>
    <tableColumn id="17" xr3:uid="{F2A0C378-30EF-4967-A8C1-C24BE2652066}" uniqueName="17" name="5" queryTableFieldId="17"/>
    <tableColumn id="18" xr3:uid="{3FF2B717-C6E6-48E7-B58C-E7464FF289F5}" uniqueName="18" name="6" queryTableFieldId="18"/>
    <tableColumn id="19" xr3:uid="{3EB47C76-4FB7-4B6D-9039-A2E13668076F}" uniqueName="19" name="7" queryTableFieldId="19"/>
    <tableColumn id="20" xr3:uid="{9DC46852-91F9-4471-B8A4-94668764E881}" uniqueName="20" name="8" queryTableFieldId="20"/>
    <tableColumn id="21" xr3:uid="{7C4E4931-1B0A-4132-9855-087CA937B2EF}" uniqueName="21" name="9" queryTableFieldId="21"/>
    <tableColumn id="22" xr3:uid="{E430DBEB-0B45-4C41-B1E3-C2339B354639}" uniqueName="22" name="10" queryTableFieldId="22"/>
    <tableColumn id="23" xr3:uid="{50DCEE73-554C-45AF-A37F-800DC7D6BA7E}" uniqueName="23" name="11" queryTableFieldId="23"/>
    <tableColumn id="24" xr3:uid="{165AB484-B798-4685-ADEB-AC4C6396F626}" uniqueName="24" name="12" queryTableFieldId="24"/>
    <tableColumn id="25" xr3:uid="{F2C19AC6-8E61-48D3-957B-2F3892A78B01}" uniqueName="25" name="13" queryTableFieldId="25"/>
    <tableColumn id="26" xr3:uid="{48EF7EFE-30B2-45B5-864A-806BAC7CC34D}" uniqueName="26" name="14" queryTableFieldId="26"/>
    <tableColumn id="27" xr3:uid="{27C7FBD2-72E7-4091-906B-AE9CD259C3F8}" uniqueName="27" name="15" queryTableFieldId="27"/>
    <tableColumn id="28" xr3:uid="{665DC643-F9F2-4918-8C67-538B062326F2}" uniqueName="28" name="16" queryTableFieldId="28"/>
    <tableColumn id="29" xr3:uid="{F0E8D16C-FAE2-4F5E-9DCC-D241816198EC}" uniqueName="29" name="17" queryTableFieldId="29"/>
    <tableColumn id="30" xr3:uid="{581085D4-D048-4B6C-80B5-509DA81FFD31}" uniqueName="30" name="18" queryTableFieldId="30"/>
    <tableColumn id="31" xr3:uid="{D78B01A7-C305-42D7-B90E-90EF367D360D}" uniqueName="31" name="19" queryTableFieldId="31"/>
    <tableColumn id="32" xr3:uid="{654AAD02-AF69-4A6E-8EF4-51B9858A18E4}" uniqueName="32" name="20" queryTableFieldId="32"/>
    <tableColumn id="33" xr3:uid="{46614CB6-5C19-4826-880E-035D6CCF7174}" uniqueName="33" name="21" queryTableFieldId="33"/>
    <tableColumn id="34" xr3:uid="{154BBE71-D271-4FBC-B140-420272A566F0}" uniqueName="34" name="22" queryTableFieldId="34"/>
    <tableColumn id="35" xr3:uid="{3C3FAC27-D8BA-4924-9BDC-634FD326F31F}" uniqueName="35" name="23" queryTableFieldId="35"/>
    <tableColumn id="36" xr3:uid="{C4178A0E-AB06-4326-94C6-E8F7853B2439}" uniqueName="36" name="24" queryTableFieldId="36"/>
    <tableColumn id="37" xr3:uid="{6364FCC1-AF7B-4AB9-B19C-1FDC1A359E91}" uniqueName="37" name="25" queryTableFieldId="37"/>
    <tableColumn id="38" xr3:uid="{FB606774-426E-4B37-B251-00059534E5ED}" uniqueName="38" name="26" queryTableFieldId="38"/>
    <tableColumn id="39" xr3:uid="{5ACE7970-E9C6-4F03-81D8-73595DD42EDA}" uniqueName="39" name="27" queryTableFieldId="39"/>
    <tableColumn id="40" xr3:uid="{4F755CF3-3DA3-4F30-947D-FD463A4EF63A}" uniqueName="40" name="28" queryTableFieldId="40"/>
    <tableColumn id="41" xr3:uid="{33EAC750-4690-4628-B246-25505EAE52BC}" uniqueName="41" name="29" queryTableFieldId="41"/>
    <tableColumn id="42" xr3:uid="{317F3DC2-5408-4F74-9932-F3C9E99103A0}" uniqueName="42" name="30" queryTableFieldId="42"/>
    <tableColumn id="43" xr3:uid="{E1D36090-E600-4D8A-B66B-E1A7BCBF75E2}" uniqueName="43" name="31" queryTableFieldId="43"/>
    <tableColumn id="44" xr3:uid="{3FB0E255-FB53-43C5-8D55-ADECF6537DB5}" uniqueName="44" name="(1)" queryTableFieldId="44"/>
    <tableColumn id="45" xr3:uid="{947E4502-DEA5-4C57-A066-C39F9BB3B5DB}" uniqueName="45" name="(2)" queryTableFieldId="45"/>
    <tableColumn id="46" xr3:uid="{8858854E-CA3D-4DD7-84C3-277032192326}" uniqueName="46" name="(3)" queryTableFieldId="46"/>
    <tableColumn id="47" xr3:uid="{38581E48-5FE4-4426-853F-E2A2DA6D0F40}" uniqueName="47" name="(4)" queryTableFieldId="47"/>
    <tableColumn id="48" xr3:uid="{64C8BCD4-F6C0-45C5-B0E0-4E694E5266BE}" uniqueName="48" name="(5)" queryTableFieldId="48"/>
    <tableColumn id="49" xr3:uid="{AB6072EB-19F5-4221-BE4D-764788887191}" uniqueName="49" name="(6)" queryTableFieldId="49"/>
    <tableColumn id="50" xr3:uid="{820354A3-ADEA-432F-B296-60949E84192F}" uniqueName="50" name="(7)" queryTableFieldId="50"/>
    <tableColumn id="51" xr3:uid="{51E5E16D-6CCE-4A53-A290-B2BB70B59C8F}" uniqueName="51" name="(8)" queryTableFieldId="51"/>
    <tableColumn id="52" xr3:uid="{C27FC68E-3D2C-4B40-85EB-E4089CEFA8AD}" uniqueName="52" name="(9)" queryTableFieldId="52"/>
    <tableColumn id="53" xr3:uid="{3A4D7F38-69C7-4347-9098-5DDF80BD36E3}" uniqueName="53" name="T.D.T." queryTableFieldId="53"/>
    <tableColumn id="54" xr3:uid="{017ACDE4-CB2F-4AAD-84F8-8B4595DADF25}" uniqueName="54" name="1033-Bono Gestión Variable" queryTableFieldId="54"/>
    <tableColumn id="55" xr3:uid="{DE571AD1-7AC9-4062-B38B-734457D135C6}" uniqueName="55" name="1029-Bono Compensatorio descanso" queryTableFieldId="55"/>
    <tableColumn id="56" xr3:uid="{95D2A872-182B-46F3-9006-6C8A48C5641C}" uniqueName="56" name="Justificación Bono 10-29 (Compensatorio descanso)" queryTableFieldId="56"/>
    <tableColumn id="57" xr3:uid="{3B34CAF6-A0AD-4801-8B36-E914C35CEA06}" uniqueName="57" name="1034-Bono Incentivo variable" queryTableFieldId="57"/>
    <tableColumn id="58" xr3:uid="{6193A725-45CE-45B2-A978-6A578953E83D}" uniqueName="58" name="Justificación Bono 1034 (Incentivo variable)" queryTableFieldId="58" dataDxfId="14"/>
    <tableColumn id="59" xr3:uid="{79DBBBED-8D60-4966-B718-3DBF3FE55082}" uniqueName="59" name="1140-Bono Responsabilidad 2" queryTableFieldId="59"/>
    <tableColumn id="60" xr3:uid="{0399B04D-D602-4CD3-BA5B-A26CAE13C57B}" uniqueName="60" name="Justificación 1140 (Bono Responsabilidad)" queryTableFieldId="60"/>
    <tableColumn id="61" xr3:uid="{191A2FE3-3A32-4270-BC5E-84F528AE61D4}" uniqueName="61" name="1041-Bono Terreno (Exclusivo proyecto Techint-CMDIC)" queryTableFieldId="61"/>
    <tableColumn id="62" xr3:uid="{86A676E2-6CF2-43EA-A188-7D18A9DD6256}" uniqueName="62" name="1031-Bono Escolaridad I/T (Uso exclusivo Area de Compensaciones)" queryTableFieldId="62"/>
    <tableColumn id="63" xr3:uid="{69601A38-8D78-493D-863E-32CA102B7356}" uniqueName="63" name="1092-Diferencia de haber" queryTableFieldId="63"/>
    <tableColumn id="64" xr3:uid="{48F4DD02-948A-4131-8823-C90CE8DF0F7E}" uniqueName="64" name="Justificación Bono 1092 (Diferencia de Haber)" queryTableFieldId="64"/>
    <tableColumn id="65" xr3:uid="{19584506-46EB-4AE1-B2B6-A11906B83B6E}" uniqueName="65" name="Cantidad de feriados del mes" queryTableFieldId="65"/>
    <tableColumn id="66" xr3:uid="{7C35D5A4-5BA4-4328-A33E-0C288B6DF2E3}" uniqueName="66" name="1082-Bono Compens. Feriado" queryTableFieldId="66"/>
    <tableColumn id="67" xr3:uid="{6D594C48-2D80-414D-9B46-6E157AC2C09A}" uniqueName="67" name="1020-Aguinaldo I/T" queryTableFieldId="67"/>
    <tableColumn id="68" xr3:uid="{7AD32FB9-1BAA-42DD-8F3D-0A488F7404C5}" uniqueName="68" name="1140-Bono de Permanencia (Plan de Beneficios)" queryTableFieldId="68"/>
    <tableColumn id="69" xr3:uid="{8010DCD3-1B90-401E-9DA7-4EA2BE7EA894}" uniqueName="69" name="Bono Seguridad BESALCO-MEL" queryTableFieldId="69"/>
    <tableColumn id="70" xr3:uid="{0680F299-95F3-4726-A25C-121DA19FB622}" uniqueName="70" name="Bono Q1 (Exclusivo Collahuasi)" queryTableFieldId="70"/>
    <tableColumn id="71" xr3:uid="{F861EE75-6BC7-401A-A589-3B7E446AC8A6}" uniqueName="71" name="Bono Q2 (Exclusivo Collahuasi)" queryTableFieldId="71"/>
    <tableColumn id="72" xr3:uid="{99ABD17A-E465-4629-8368-FCA8AA28171F}" uniqueName="72" name="Bono Q3 (Exclusivo Collahuasi)" queryTableFieldId="72"/>
    <tableColumn id="73" xr3:uid="{2EB38F57-0D6A-4D00-85B7-DDB77AA812F3}" uniqueName="73" name="Bono Q4 (Exclusivo Collahuasi)" queryTableFieldId="73"/>
    <tableColumn id="74" xr3:uid="{13A66B98-156C-4051-8973-0510EF5F0351}" uniqueName="74" name="Bono RSA (Exclusivo Collahuasi)" queryTableFieldId="74"/>
    <tableColumn id="75" xr3:uid="{F6123CC8-64BE-4539-960E-55D85847DFC6}" uniqueName="75" name="1044-Asignación Colación" queryTableFieldId="75"/>
    <tableColumn id="76" xr3:uid="{55F8AA55-00BB-4160-9928-DEB72772691E}" uniqueName="76" name="Justificación Asignacion Colacion" queryTableFieldId="76"/>
    <tableColumn id="77" xr3:uid="{144623ED-96A3-4D7C-B319-DF5DAF1D2C66}" uniqueName="77" name="1165-Asignación Movilización 2" queryTableFieldId="77"/>
    <tableColumn id="78" xr3:uid="{0E877DF9-B513-467E-91BA-0D25BFBB1326}" uniqueName="78" name="Justificación Asignación Movilización 2" queryTableFieldId="78"/>
    <tableColumn id="79" xr3:uid="{63DC51C1-4EBC-47C7-8F78-890B91D6861D}" uniqueName="79" name="1172-Viatico 2" queryTableFieldId="79"/>
    <tableColumn id="80" xr3:uid="{824FAFE8-2F7D-4508-83DE-226835BC1287}" uniqueName="80" name="Justificación Viatico" queryTableFieldId="80"/>
    <tableColumn id="81" xr3:uid="{CDCB0F54-76DF-4908-8BDC-F546ACE3E189}" uniqueName="81" name="1073-Otras Asignaciones N/I (Beneficios)" queryTableFieldId="81"/>
    <tableColumn id="82" xr3:uid="{32672FEE-6FD4-411D-839C-BDB134BA1FF8}" uniqueName="82" name="Justificaciión de Asignación (Detalle del beneficio)" queryTableFieldId="82"/>
    <tableColumn id="83" xr3:uid="{1613382A-81E8-4B7D-8DA8-5EE8BD0FDE48}" uniqueName="83" name="1032-Bono Escolaridad N/I" queryTableFieldId="83"/>
    <tableColumn id="84" xr3:uid="{70F09A41-E8E0-41C2-BFAC-213879E32C52}" uniqueName="84" name="1124-Asignación familiar Retroactiva" queryTableFieldId="84"/>
    <tableColumn id="85" xr3:uid="{7878E657-4263-4B8E-8603-82CD01F3AFF5}" uniqueName="85" name="Descuento por aporte voluntario" queryTableFieldId="85"/>
    <tableColumn id="86" xr3:uid="{CAAE9DF6-17C2-4097-806F-5AEDD9CFB18F}" uniqueName="86" name="Observaciones generales" queryTableFieldId="86"/>
    <tableColumn id="87" xr3:uid="{49D21867-A915-4FAA-9CFE-C1CE3C4B9EA0}" uniqueName="87" name="ACUERDO MARCO ACCIONA-CODELCO" queryTableFieldId="87"/>
    <tableColumn id="88" xr3:uid="{1E004DFF-411A-4528-9298-AAACAF2A6199}" uniqueName="88" name="GRATIFICACION ACUERD MARCO ACCIONA-CODELCO2" queryTableFieldId="88"/>
    <tableColumn id="89" xr3:uid="{E9FD8B14-3349-488F-9805-8885F730B68C}" uniqueName="89" name="DIAS ADICIONALES CHIQUICAMATA" queryTableFieldId="89"/>
    <tableColumn id="90" xr3:uid="{9F408A83-DB32-43AD-9CEA-F5098948185D}" uniqueName="90" name=" BONO PARTICIPACION CHIQUI" queryTableFieldId="9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97BFC-B019-4DD0-95A4-CDB74357EEB6}" name="_04_2026_Acciona" displayName="_04_2026_Acciona" ref="A1:CL101" tableType="queryTable" totalsRowShown="0">
  <autoFilter ref="A1:CL101" xr:uid="{DF597BFC-B019-4DD0-95A4-CDB74357EEB6}"/>
  <tableColumns count="90">
    <tableColumn id="1" xr3:uid="{9791F4B9-DD97-4538-A0E8-F6FEFA90A0D9}" uniqueName="1" name="Nº" queryTableFieldId="1"/>
    <tableColumn id="2" xr3:uid="{A5EAAF84-5443-4212-B7DE-096FADD5CC51}" uniqueName="2" name="RUT (sin puntos y con guion)" queryTableFieldId="2" dataDxfId="13"/>
    <tableColumn id="3" xr3:uid="{DE822D27-98F0-4090-AF20-39521270C0D7}" uniqueName="3" name="ID (rut sin puntos, sin guión ni digito vertificador)" queryTableFieldId="3"/>
    <tableColumn id="4" xr3:uid="{F6955181-E347-4B47-A5B8-ADB2267A7C63}" uniqueName="4" name="APELLIDO PATERNO" queryTableFieldId="4" dataDxfId="12"/>
    <tableColumn id="5" xr3:uid="{4BA0B73E-D709-4150-8B0E-7B2AA67A736A}" uniqueName="5" name="APELLIDO MATERNO" queryTableFieldId="5" dataDxfId="11"/>
    <tableColumn id="6" xr3:uid="{5139EA6D-560E-4E52-94E8-3F6DC5B9DD6B}" uniqueName="6" name="NOMBRES" queryTableFieldId="6" dataDxfId="10"/>
    <tableColumn id="7" xr3:uid="{A7FC3D96-9493-4803-9217-2B53A9699328}" uniqueName="7" name="CARGO" queryTableFieldId="7" dataDxfId="9"/>
    <tableColumn id="8" xr3:uid="{A6D5A48A-0B47-4A4C-B6FD-6E85809991A6}" uniqueName="8" name="INICIO DE CONTRATO" queryTableFieldId="8" dataDxfId="8"/>
    <tableColumn id="9" xr3:uid="{D7A32E23-78B6-424D-B8B4-E842F065D8A5}" uniqueName="9" name="D/I" queryTableFieldId="9" dataDxfId="7"/>
    <tableColumn id="10" xr3:uid="{75D0B60D-C5FF-4895-A049-EEC1C0995871}" uniqueName="10" name="GENERO M/F" queryTableFieldId="10" dataDxfId="6"/>
    <tableColumn id="11" xr3:uid="{43D15522-7601-48BA-B98D-3FECEF22D7D1}" uniqueName="11" name="TURNO (5x2-4x3-14x14 -art22)" queryTableFieldId="11" dataDxfId="5"/>
    <tableColumn id="12" xr3:uid="{742F8F86-C230-4D38-9102-88F7B9C4C58D}" uniqueName="12" name="CC" queryTableFieldId="12"/>
    <tableColumn id="13" xr3:uid="{4F239BB5-888D-43CE-A258-C2DC22A56064}" uniqueName="13" name="1" queryTableFieldId="13"/>
    <tableColumn id="14" xr3:uid="{925ABE21-456E-4CB4-BCCB-0899D6CCC23D}" uniqueName="14" name="2" queryTableFieldId="14"/>
    <tableColumn id="15" xr3:uid="{CB7A26CB-C352-4150-BB54-A64AFB6A613D}" uniqueName="15" name="3" queryTableFieldId="15"/>
    <tableColumn id="16" xr3:uid="{3C23954C-526B-4664-BC74-0E32370F9F86}" uniqueName="16" name="4" queryTableFieldId="16"/>
    <tableColumn id="17" xr3:uid="{1AAEB04E-9AE0-46BB-88D9-DF9FE557DF96}" uniqueName="17" name="5" queryTableFieldId="17"/>
    <tableColumn id="18" xr3:uid="{1D782109-EBCF-4405-B989-46058807E10F}" uniqueName="18" name="6" queryTableFieldId="18"/>
    <tableColumn id="19" xr3:uid="{48BB3DC2-706F-472C-A32B-22F3045730CB}" uniqueName="19" name="7" queryTableFieldId="19"/>
    <tableColumn id="20" xr3:uid="{69D40AEB-BAB9-4712-A898-AD181A0754E8}" uniqueName="20" name="8" queryTableFieldId="20"/>
    <tableColumn id="21" xr3:uid="{912F29CC-B478-40BA-8737-D729C0FC19A9}" uniqueName="21" name="9" queryTableFieldId="21"/>
    <tableColumn id="22" xr3:uid="{76BC87B2-3B92-4AB5-BB0D-5BCC72C338ED}" uniqueName="22" name="10" queryTableFieldId="22"/>
    <tableColumn id="23" xr3:uid="{C87EC91E-068C-4D2F-B8B4-FF9DE7E0AD93}" uniqueName="23" name="11" queryTableFieldId="23"/>
    <tableColumn id="24" xr3:uid="{8E79C001-FF8D-45FD-B42C-E991875BD147}" uniqueName="24" name="12" queryTableFieldId="24"/>
    <tableColumn id="25" xr3:uid="{1659D3A6-232D-4CD2-A39A-E1D253600AAE}" uniqueName="25" name="13" queryTableFieldId="25"/>
    <tableColumn id="26" xr3:uid="{B7CEE2CE-231A-4291-9CAF-0B65C6A9E991}" uniqueName="26" name="14" queryTableFieldId="26"/>
    <tableColumn id="27" xr3:uid="{A0E0BC6D-8780-47FD-8EE0-CB62EDEB9BCD}" uniqueName="27" name="15" queryTableFieldId="27"/>
    <tableColumn id="28" xr3:uid="{3D2FAC84-B522-4CE6-9B51-30E60398FA65}" uniqueName="28" name="16" queryTableFieldId="28"/>
    <tableColumn id="29" xr3:uid="{1C0AEBD3-13A0-40EC-9AC1-16F358F9A7EB}" uniqueName="29" name="17" queryTableFieldId="29"/>
    <tableColumn id="30" xr3:uid="{7DDA5006-B404-49EB-BECF-FDD979E3F21A}" uniqueName="30" name="18" queryTableFieldId="30"/>
    <tableColumn id="31" xr3:uid="{2B5997D5-9823-4633-B810-96BBF104D8BA}" uniqueName="31" name="19" queryTableFieldId="31"/>
    <tableColumn id="32" xr3:uid="{6753C463-AF93-4567-B1F9-4272B3617817}" uniqueName="32" name="20" queryTableFieldId="32"/>
    <tableColumn id="33" xr3:uid="{B6F81870-AABB-4134-B9B2-90951E4B2662}" uniqueName="33" name="21" queryTableFieldId="33"/>
    <tableColumn id="34" xr3:uid="{D60A49D3-B7F4-42BC-815F-6AB4A384394D}" uniqueName="34" name="22" queryTableFieldId="34"/>
    <tableColumn id="35" xr3:uid="{FBA7FFBA-5F5C-4F19-8782-84974E3605A7}" uniqueName="35" name="23" queryTableFieldId="35"/>
    <tableColumn id="36" xr3:uid="{DE84F591-BEDB-4A7A-8C16-840ACFB53C59}" uniqueName="36" name="24" queryTableFieldId="36"/>
    <tableColumn id="37" xr3:uid="{C1A517B3-BF4C-4369-83BA-14E631EED5E8}" uniqueName="37" name="25" queryTableFieldId="37"/>
    <tableColumn id="38" xr3:uid="{1F6BC787-AAFA-4DFC-8CAC-FD4AE9434F9A}" uniqueName="38" name="26" queryTableFieldId="38"/>
    <tableColumn id="39" xr3:uid="{9AF1A8C3-1331-4A3D-B5A5-265B5BE6B465}" uniqueName="39" name="27" queryTableFieldId="39"/>
    <tableColumn id="40" xr3:uid="{5483470F-EF45-4B9B-9C70-663370A39C53}" uniqueName="40" name="28" queryTableFieldId="40"/>
    <tableColumn id="41" xr3:uid="{0209C521-323F-4492-8B9F-788FC2945F99}" uniqueName="41" name="29" queryTableFieldId="41"/>
    <tableColumn id="42" xr3:uid="{1ED7E694-6591-45E3-8429-A0473702FBEC}" uniqueName="42" name="30" queryTableFieldId="42"/>
    <tableColumn id="43" xr3:uid="{36C74F79-1D38-4B0B-A594-A8E171089977}" uniqueName="43" name="31" queryTableFieldId="43"/>
    <tableColumn id="44" xr3:uid="{46D3DFCF-603D-4A1B-A372-8C0B84F00B2C}" uniqueName="44" name="(1)" queryTableFieldId="44"/>
    <tableColumn id="45" xr3:uid="{00D083AD-AC85-4FE2-9477-F79986A3229F}" uniqueName="45" name="(2)" queryTableFieldId="45"/>
    <tableColumn id="46" xr3:uid="{1B3D6D9B-2B82-4F24-A464-FA0FAA249074}" uniqueName="46" name="(3)" queryTableFieldId="46"/>
    <tableColumn id="47" xr3:uid="{67BB8395-75BC-4971-85BF-93C911335D86}" uniqueName="47" name="(4)" queryTableFieldId="47"/>
    <tableColumn id="48" xr3:uid="{2CA1CAC8-F961-4431-B275-CE51D3C81D40}" uniqueName="48" name="(5)" queryTableFieldId="48"/>
    <tableColumn id="49" xr3:uid="{FD05DF4D-2F35-451F-B834-6CE079233CCA}" uniqueName="49" name="(6)" queryTableFieldId="49"/>
    <tableColumn id="50" xr3:uid="{2F2F973C-3791-4260-95B0-A594E65AFBA2}" uniqueName="50" name="(7)" queryTableFieldId="50"/>
    <tableColumn id="51" xr3:uid="{83E89B89-EFB6-4CB7-9C18-405652D7FC38}" uniqueName="51" name="(8)" queryTableFieldId="51"/>
    <tableColumn id="52" xr3:uid="{D9D396D1-C6CB-4825-B178-A9A10181AE5D}" uniqueName="52" name="(9)" queryTableFieldId="52"/>
    <tableColumn id="53" xr3:uid="{6F584DB8-3C9B-43E7-970E-D5D156FED52B}" uniqueName="53" name="T.D.T." queryTableFieldId="53"/>
    <tableColumn id="54" xr3:uid="{EA767733-983D-4C51-A2C5-4C48C6580052}" uniqueName="54" name="1033-Bono Gestión Variable" queryTableFieldId="54"/>
    <tableColumn id="55" xr3:uid="{1C3E5283-3A14-43D8-BD34-2A5017961AF4}" uniqueName="55" name="1029-Bono Compensatorio descanso" queryTableFieldId="55"/>
    <tableColumn id="56" xr3:uid="{97A8C49A-6C36-428D-ADC6-054E7B501473}" uniqueName="56" name="Justificación Bono 10-29 (Compensatorio descanso)" queryTableFieldId="56" dataDxfId="4"/>
    <tableColumn id="57" xr3:uid="{5420FDBA-ABF1-4147-94DD-10E48F38F008}" uniqueName="57" name="1034-Bono Incentivo variable" queryTableFieldId="57"/>
    <tableColumn id="58" xr3:uid="{44F44405-1133-4F78-81A8-03F632DE54A0}" uniqueName="58" name="Justificación Bono 1034 (Incentivo variable)" queryTableFieldId="58" dataDxfId="3"/>
    <tableColumn id="59" xr3:uid="{5C6B6447-DC83-4932-B5D4-CBC4D9960AC5}" uniqueName="59" name="1140-Bono Responsabilidad 2" queryTableFieldId="59"/>
    <tableColumn id="60" xr3:uid="{F4B2BC9A-E32E-4C72-AF1D-48A9BC86628C}" uniqueName="60" name="Justificación 1140 (Bono Responsabilidad)" queryTableFieldId="60"/>
    <tableColumn id="61" xr3:uid="{7BC70222-5C22-40F0-9976-6EAEFD6B483A}" uniqueName="61" name="1041-Bono Terreno (Exclusivo proyecto Techint-CMDIC)" queryTableFieldId="61"/>
    <tableColumn id="62" xr3:uid="{07C196EA-267D-4D7A-84A9-66B2B47A6571}" uniqueName="62" name="1031-Bono Escolaridad I/T (Uso exclusivo Area de Compensaciones)" queryTableFieldId="62"/>
    <tableColumn id="63" xr3:uid="{3A6F6B7A-24EE-40E3-9E2D-AA58EBDCE6AB}" uniqueName="63" name="1092-Diferencia de haber" queryTableFieldId="63"/>
    <tableColumn id="64" xr3:uid="{586E7F40-0A0B-4FD6-918E-A3AD18339682}" uniqueName="64" name="Justificación Bono 1092 (Diferencia de Haber)" queryTableFieldId="64" dataDxfId="2"/>
    <tableColumn id="65" xr3:uid="{2231AC7C-13CB-4232-BA0B-BCB71416AAA8}" uniqueName="65" name="Cantidad de feriados del mes" queryTableFieldId="65"/>
    <tableColumn id="66" xr3:uid="{6D4A5CE5-3EDE-4E81-83CC-7E2BB48EF552}" uniqueName="66" name="1082-Bono Compens. Feriado" queryTableFieldId="66"/>
    <tableColumn id="67" xr3:uid="{997506B6-9216-4971-B248-54C470CC3C02}" uniqueName="67" name="1020-Aguinaldo I/T" queryTableFieldId="67"/>
    <tableColumn id="68" xr3:uid="{F7C79A35-1737-4768-852E-4BB3EFF9AF9D}" uniqueName="68" name="1140-Bono de Permanencia (Plan de Beneficios)" queryTableFieldId="68"/>
    <tableColumn id="69" xr3:uid="{07CD327C-989C-4FF1-91CC-0B7F25E664C8}" uniqueName="69" name="Bono Seguridad BESALCO-MEL" queryTableFieldId="69"/>
    <tableColumn id="70" xr3:uid="{07C8513B-FF0B-4654-98F2-E2EA78CA79AB}" uniqueName="70" name="Bono Q1 (Exclusivo Collahuasi)" queryTableFieldId="70"/>
    <tableColumn id="71" xr3:uid="{1E5FE857-77C8-4B29-BEFF-4B237727CA71}" uniqueName="71" name="Bono Q2 (Exclusivo Collahuasi)" queryTableFieldId="71"/>
    <tableColumn id="72" xr3:uid="{B1A7A537-F793-4674-A822-B8A64DB0D993}" uniqueName="72" name="Bono Q3 (Exclusivo Collahuasi)" queryTableFieldId="72"/>
    <tableColumn id="73" xr3:uid="{4FAB765D-5AD5-47D9-8B66-92FF53903134}" uniqueName="73" name="Bono Q4 (Exclusivo Collahuasi)" queryTableFieldId="73"/>
    <tableColumn id="74" xr3:uid="{33C51A98-8094-4470-BA12-FFC765DC55AD}" uniqueName="74" name="Bono RSA (Exclusivo Collahuasi)" queryTableFieldId="74"/>
    <tableColumn id="75" xr3:uid="{04AFA4F2-D9FA-4324-AF05-017208C84F1C}" uniqueName="75" name="1044-Asignación Colación" queryTableFieldId="75"/>
    <tableColumn id="76" xr3:uid="{D5A14899-6048-4BB3-8FD7-FEE00A459820}" uniqueName="76" name="Justificación Asignacion Colacion" queryTableFieldId="76" dataDxfId="1"/>
    <tableColumn id="77" xr3:uid="{434B3D83-8284-4E30-BAD2-E68266F3FA69}" uniqueName="77" name="1165-Asignación Movilización 2" queryTableFieldId="77"/>
    <tableColumn id="78" xr3:uid="{933A05D9-315E-42F2-96CF-0594E44CDE96}" uniqueName="78" name="Justificación Asignación Movilización 2" queryTableFieldId="78"/>
    <tableColumn id="79" xr3:uid="{C751D19D-14B2-45A7-A4ED-D3444E0777F1}" uniqueName="79" name="1172-Viatico 2" queryTableFieldId="79"/>
    <tableColumn id="80" xr3:uid="{E2BD8B48-81C3-4CCC-9722-239D78FBB6BF}" uniqueName="80" name="Justificación Viatico" queryTableFieldId="80"/>
    <tableColumn id="81" xr3:uid="{1773B380-D80C-4EF2-9460-2740DA240D48}" uniqueName="81" name="1073-Otras Asignaciones N/I (Beneficios)" queryTableFieldId="81"/>
    <tableColumn id="82" xr3:uid="{8E562639-037D-4A41-AF32-C654DC32512D}" uniqueName="82" name="Justificaciión de Asignación (Detalle del beneficio)" queryTableFieldId="82"/>
    <tableColumn id="83" xr3:uid="{3B54AC77-3AAB-4035-AD89-8537793AC75A}" uniqueName="83" name="1032-Bono Escolaridad N/I" queryTableFieldId="83"/>
    <tableColumn id="84" xr3:uid="{8A24708A-236C-4A52-BEA8-4E615FF1319B}" uniqueName="84" name="1124-Asignación familiar Retroactiva" queryTableFieldId="84"/>
    <tableColumn id="85" xr3:uid="{F9B92767-BBFC-4A99-9222-F74443D207D0}" uniqueName="85" name="Descuento por aporte voluntario" queryTableFieldId="85"/>
    <tableColumn id="86" xr3:uid="{54826E9D-1382-4791-9FFF-8477D320317E}" uniqueName="86" name="Observaciones generales" queryTableFieldId="86"/>
    <tableColumn id="87" xr3:uid="{26ABBA78-535F-4AEB-8798-DCB3695D369A}" uniqueName="87" name="ACUERDO MARCO ACCIONA-CODELCO" queryTableFieldId="87"/>
    <tableColumn id="88" xr3:uid="{B0E21774-E6D9-49D1-BB21-48C5A6264270}" uniqueName="88" name="GRATIFICACION ACUERD MARCO ACCIONA-CODELCO2" queryTableFieldId="88"/>
    <tableColumn id="89" xr3:uid="{574F8E43-4F44-4AC5-8DBC-9EBA0F29735A}" uniqueName="89" name="DIAS ADICIONALES CHIQUICAMATA" queryTableFieldId="89"/>
    <tableColumn id="90" xr3:uid="{59F73227-8062-4F74-A6C1-0E9F4FDE45A4}" uniqueName="90" name=" BONO PARTICIPACION CHIQUI" queryTableFieldId="9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30F5-7263-4989-BFC1-E9AF5948AEAC}">
  <dimension ref="A1:CR204"/>
  <sheetViews>
    <sheetView tabSelected="1" workbookViewId="0">
      <pane xSplit="5" ySplit="1" topLeftCell="BW5" activePane="bottomRight" state="frozen"/>
      <selection pane="topRight"/>
      <selection pane="bottomLeft"/>
      <selection pane="bottomRight" activeCell="AR1" sqref="AR1:AZ1048576"/>
    </sheetView>
  </sheetViews>
  <sheetFormatPr baseColWidth="10" defaultColWidth="11.44140625" defaultRowHeight="14.4" x14ac:dyDescent="0.3"/>
  <cols>
    <col min="1" max="1" width="8.44140625" bestFit="1" customWidth="1"/>
    <col min="2" max="2" width="14" customWidth="1"/>
    <col min="3" max="3" width="13" customWidth="1"/>
    <col min="4" max="4" width="19.6640625" bestFit="1" customWidth="1"/>
    <col min="5" max="5" width="20" bestFit="1" customWidth="1"/>
    <col min="6" max="6" width="26.33203125" bestFit="1" customWidth="1"/>
    <col min="7" max="7" width="44.332031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hidden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80.332031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50.664062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62.8867187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52.5546875" bestFit="1" customWidth="1"/>
    <col min="87" max="87" width="35.5546875" bestFit="1" customWidth="1"/>
    <col min="88" max="88" width="49.33203125" bestFit="1" customWidth="1"/>
    <col min="89" max="89" width="32.6640625" bestFit="1" customWidth="1"/>
    <col min="90" max="90" width="29.109375" bestFit="1" customWidth="1"/>
    <col min="91" max="91" width="13" bestFit="1" customWidth="1"/>
  </cols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hidden="1" x14ac:dyDescent="0.3">
      <c r="A2">
        <v>1</v>
      </c>
      <c r="B2" t="s">
        <v>96</v>
      </c>
      <c r="C2">
        <v>7365743</v>
      </c>
      <c r="D2" t="s">
        <v>97</v>
      </c>
      <c r="E2" t="s">
        <v>98</v>
      </c>
      <c r="F2" t="s">
        <v>99</v>
      </c>
      <c r="G2" t="s">
        <v>100</v>
      </c>
      <c r="H2" s="1"/>
      <c r="I2" t="s">
        <v>101</v>
      </c>
      <c r="J2" t="s">
        <v>102</v>
      </c>
      <c r="K2" t="s">
        <v>103</v>
      </c>
      <c r="L2">
        <v>1710000001</v>
      </c>
      <c r="M2">
        <v>1</v>
      </c>
      <c r="N2">
        <v>1</v>
      </c>
      <c r="O2">
        <v>3</v>
      </c>
      <c r="P2">
        <v>3</v>
      </c>
      <c r="Q2">
        <v>3</v>
      </c>
      <c r="R2">
        <v>1</v>
      </c>
      <c r="S2">
        <v>1</v>
      </c>
      <c r="T2">
        <v>1</v>
      </c>
      <c r="U2">
        <v>1</v>
      </c>
      <c r="V2">
        <v>1</v>
      </c>
      <c r="W2">
        <v>3</v>
      </c>
      <c r="X2">
        <v>3</v>
      </c>
      <c r="Y2">
        <v>1</v>
      </c>
      <c r="Z2">
        <v>1</v>
      </c>
      <c r="AA2">
        <v>1</v>
      </c>
      <c r="AB2">
        <v>1</v>
      </c>
      <c r="AC2">
        <v>1</v>
      </c>
      <c r="AD2">
        <v>3</v>
      </c>
      <c r="AE2">
        <v>3</v>
      </c>
      <c r="AF2">
        <v>1</v>
      </c>
      <c r="AG2">
        <v>1</v>
      </c>
      <c r="AH2">
        <v>1</v>
      </c>
      <c r="AI2">
        <v>1</v>
      </c>
      <c r="AJ2">
        <v>1</v>
      </c>
      <c r="AK2">
        <v>3</v>
      </c>
      <c r="AL2">
        <v>3</v>
      </c>
      <c r="AM2">
        <v>1</v>
      </c>
      <c r="AN2">
        <v>1</v>
      </c>
      <c r="AO2">
        <v>1</v>
      </c>
      <c r="AP2">
        <v>1</v>
      </c>
      <c r="AR2">
        <v>21</v>
      </c>
      <c r="AS2">
        <v>0</v>
      </c>
      <c r="AT2">
        <v>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CN2" s="4">
        <v>601803</v>
      </c>
      <c r="CO2">
        <f>VLOOKUP(C2,'LOS HEROES'!$A$2:$D$30,4,0)</f>
        <v>552163</v>
      </c>
      <c r="CP2">
        <v>0</v>
      </c>
      <c r="CQ2">
        <f>VLOOKUP(C2,SEGURO!$A$2:$C$28,3,0)</f>
        <v>46667</v>
      </c>
      <c r="CR2">
        <v>0</v>
      </c>
    </row>
    <row r="3" spans="1:96" hidden="1" x14ac:dyDescent="0.3">
      <c r="A3">
        <v>2</v>
      </c>
      <c r="B3" t="s">
        <v>104</v>
      </c>
      <c r="C3">
        <v>9187205</v>
      </c>
      <c r="D3" t="s">
        <v>105</v>
      </c>
      <c r="E3" t="s">
        <v>106</v>
      </c>
      <c r="F3" t="s">
        <v>107</v>
      </c>
      <c r="G3" t="s">
        <v>108</v>
      </c>
      <c r="H3" s="1">
        <v>45676</v>
      </c>
      <c r="I3" t="s">
        <v>101</v>
      </c>
      <c r="J3" t="s">
        <v>102</v>
      </c>
      <c r="K3" t="s">
        <v>109</v>
      </c>
      <c r="L3">
        <v>1790000088</v>
      </c>
      <c r="M3">
        <v>1</v>
      </c>
      <c r="N3">
        <v>1</v>
      </c>
      <c r="O3">
        <v>3</v>
      </c>
      <c r="P3">
        <v>3</v>
      </c>
      <c r="Q3">
        <v>3</v>
      </c>
      <c r="R3">
        <v>1</v>
      </c>
      <c r="S3">
        <v>1</v>
      </c>
      <c r="T3">
        <v>1</v>
      </c>
      <c r="U3">
        <v>1</v>
      </c>
      <c r="V3">
        <v>3</v>
      </c>
      <c r="W3">
        <v>3</v>
      </c>
      <c r="X3">
        <v>3</v>
      </c>
      <c r="Y3">
        <v>1</v>
      </c>
      <c r="Z3">
        <v>1</v>
      </c>
      <c r="AA3">
        <v>1</v>
      </c>
      <c r="AB3">
        <v>1</v>
      </c>
      <c r="AC3">
        <v>3</v>
      </c>
      <c r="AD3">
        <v>3</v>
      </c>
      <c r="AE3">
        <v>3</v>
      </c>
      <c r="AF3">
        <v>1</v>
      </c>
      <c r="AG3">
        <v>1</v>
      </c>
      <c r="AH3">
        <v>1</v>
      </c>
      <c r="AI3">
        <v>1</v>
      </c>
      <c r="AJ3">
        <v>3</v>
      </c>
      <c r="AK3">
        <v>3</v>
      </c>
      <c r="AL3">
        <v>3</v>
      </c>
      <c r="AM3">
        <v>1</v>
      </c>
      <c r="AN3">
        <v>1</v>
      </c>
      <c r="AO3">
        <v>1</v>
      </c>
      <c r="AP3">
        <v>1</v>
      </c>
      <c r="AR3">
        <v>18</v>
      </c>
      <c r="AS3">
        <v>0</v>
      </c>
      <c r="AT3">
        <v>12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E3">
        <v>328000</v>
      </c>
      <c r="BF3" t="s">
        <v>110</v>
      </c>
      <c r="BM3">
        <v>0</v>
      </c>
      <c r="CP3">
        <v>0</v>
      </c>
      <c r="CQ3">
        <v>0</v>
      </c>
      <c r="CR3">
        <v>0</v>
      </c>
    </row>
    <row r="4" spans="1:96" hidden="1" x14ac:dyDescent="0.3">
      <c r="A4">
        <v>3</v>
      </c>
      <c r="B4" t="s">
        <v>111</v>
      </c>
      <c r="C4">
        <v>9205219</v>
      </c>
      <c r="D4" t="s">
        <v>112</v>
      </c>
      <c r="E4" t="s">
        <v>113</v>
      </c>
      <c r="F4" t="s">
        <v>114</v>
      </c>
      <c r="G4" t="s">
        <v>115</v>
      </c>
      <c r="H4" s="1"/>
      <c r="I4" t="s">
        <v>101</v>
      </c>
      <c r="J4" t="s">
        <v>102</v>
      </c>
      <c r="K4" t="s">
        <v>103</v>
      </c>
      <c r="L4">
        <v>1720000001</v>
      </c>
      <c r="M4">
        <v>1</v>
      </c>
      <c r="N4">
        <v>1</v>
      </c>
      <c r="O4">
        <v>3</v>
      </c>
      <c r="P4">
        <v>3</v>
      </c>
      <c r="Q4">
        <v>3</v>
      </c>
      <c r="R4">
        <v>1</v>
      </c>
      <c r="S4">
        <v>1</v>
      </c>
      <c r="T4">
        <v>1</v>
      </c>
      <c r="U4">
        <v>1</v>
      </c>
      <c r="V4">
        <v>3</v>
      </c>
      <c r="W4">
        <v>3</v>
      </c>
      <c r="X4">
        <v>3</v>
      </c>
      <c r="Y4">
        <v>1</v>
      </c>
      <c r="Z4">
        <v>1</v>
      </c>
      <c r="AA4">
        <v>1</v>
      </c>
      <c r="AB4">
        <v>1</v>
      </c>
      <c r="AC4">
        <v>3</v>
      </c>
      <c r="AD4">
        <v>3</v>
      </c>
      <c r="AE4">
        <v>3</v>
      </c>
      <c r="AF4">
        <v>1</v>
      </c>
      <c r="AG4">
        <v>1</v>
      </c>
      <c r="AH4">
        <v>1</v>
      </c>
      <c r="AI4">
        <v>1</v>
      </c>
      <c r="AJ4">
        <v>3</v>
      </c>
      <c r="AK4">
        <v>3</v>
      </c>
      <c r="AL4">
        <v>3</v>
      </c>
      <c r="AM4">
        <v>1</v>
      </c>
      <c r="AN4">
        <v>1</v>
      </c>
      <c r="AO4">
        <v>1</v>
      </c>
      <c r="AP4">
        <v>1</v>
      </c>
      <c r="AR4">
        <v>18</v>
      </c>
      <c r="AS4">
        <v>0</v>
      </c>
      <c r="AT4">
        <v>12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CP4">
        <v>0</v>
      </c>
      <c r="CQ4">
        <f>VLOOKUP(C4,SEGURO!$A$2:$C$28,3,0)</f>
        <v>46667</v>
      </c>
      <c r="CR4">
        <v>0</v>
      </c>
    </row>
    <row r="5" spans="1:96" x14ac:dyDescent="0.3">
      <c r="A5">
        <v>4</v>
      </c>
      <c r="B5" t="s">
        <v>116</v>
      </c>
      <c r="C5">
        <v>9430404</v>
      </c>
      <c r="D5" t="s">
        <v>117</v>
      </c>
      <c r="E5" t="s">
        <v>118</v>
      </c>
      <c r="F5" t="s">
        <v>119</v>
      </c>
      <c r="G5" t="s">
        <v>120</v>
      </c>
      <c r="H5" s="1"/>
      <c r="I5" t="s">
        <v>101</v>
      </c>
      <c r="J5" t="s">
        <v>102</v>
      </c>
      <c r="K5" t="s">
        <v>103</v>
      </c>
      <c r="L5">
        <v>1740000002</v>
      </c>
      <c r="M5">
        <v>1</v>
      </c>
      <c r="N5">
        <v>1</v>
      </c>
      <c r="O5">
        <v>3</v>
      </c>
      <c r="P5">
        <v>3</v>
      </c>
      <c r="Q5">
        <v>3</v>
      </c>
      <c r="R5">
        <v>9</v>
      </c>
      <c r="S5">
        <v>9</v>
      </c>
      <c r="T5">
        <v>9</v>
      </c>
      <c r="U5">
        <v>9</v>
      </c>
      <c r="V5">
        <v>9</v>
      </c>
      <c r="W5">
        <v>9</v>
      </c>
      <c r="X5">
        <v>9</v>
      </c>
      <c r="Y5">
        <v>9</v>
      </c>
      <c r="Z5">
        <v>9</v>
      </c>
      <c r="AA5">
        <v>9</v>
      </c>
      <c r="AB5">
        <v>9</v>
      </c>
      <c r="AC5">
        <v>9</v>
      </c>
      <c r="AD5">
        <v>9</v>
      </c>
      <c r="AE5">
        <v>9</v>
      </c>
      <c r="AF5">
        <v>1</v>
      </c>
      <c r="AG5">
        <v>1</v>
      </c>
      <c r="AH5">
        <v>1</v>
      </c>
      <c r="AI5">
        <v>1</v>
      </c>
      <c r="AJ5">
        <v>1</v>
      </c>
      <c r="AK5">
        <v>3</v>
      </c>
      <c r="AL5">
        <v>3</v>
      </c>
      <c r="AM5">
        <v>1</v>
      </c>
      <c r="AN5">
        <v>1</v>
      </c>
      <c r="AO5">
        <v>1</v>
      </c>
      <c r="AP5">
        <v>1</v>
      </c>
      <c r="AR5">
        <v>11</v>
      </c>
      <c r="AS5">
        <v>0</v>
      </c>
      <c r="AT5">
        <v>5</v>
      </c>
      <c r="AU5">
        <v>0</v>
      </c>
      <c r="AV5">
        <v>0</v>
      </c>
      <c r="AW5">
        <v>0</v>
      </c>
      <c r="AX5">
        <v>0</v>
      </c>
      <c r="AY5">
        <v>0</v>
      </c>
      <c r="AZ5">
        <v>14</v>
      </c>
      <c r="BA5">
        <v>30</v>
      </c>
      <c r="BY5">
        <v>40000</v>
      </c>
      <c r="CA5">
        <v>30000</v>
      </c>
      <c r="CB5" t="s">
        <v>121</v>
      </c>
      <c r="CO5">
        <f>VLOOKUP(C5,'LOS HEROES'!$A$2:$D$30,4,0)</f>
        <v>64673</v>
      </c>
      <c r="CP5">
        <v>0</v>
      </c>
      <c r="CQ5">
        <f>VLOOKUP(C5,SEGURO!$A$2:$C$28,3,0)</f>
        <v>18779</v>
      </c>
      <c r="CR5">
        <v>0</v>
      </c>
    </row>
    <row r="6" spans="1:96" hidden="1" x14ac:dyDescent="0.3">
      <c r="A6">
        <v>5</v>
      </c>
      <c r="B6" t="s">
        <v>122</v>
      </c>
      <c r="C6">
        <v>9460969</v>
      </c>
      <c r="D6" t="s">
        <v>123</v>
      </c>
      <c r="E6" t="s">
        <v>124</v>
      </c>
      <c r="F6" t="s">
        <v>125</v>
      </c>
      <c r="G6" t="s">
        <v>126</v>
      </c>
      <c r="H6" s="1">
        <v>45712</v>
      </c>
      <c r="I6" t="s">
        <v>101</v>
      </c>
      <c r="J6" t="s">
        <v>102</v>
      </c>
      <c r="K6" t="s">
        <v>127</v>
      </c>
      <c r="L6">
        <v>1790000088</v>
      </c>
      <c r="M6">
        <v>1</v>
      </c>
      <c r="N6">
        <v>3</v>
      </c>
      <c r="O6">
        <v>3</v>
      </c>
      <c r="P6">
        <v>3</v>
      </c>
      <c r="AR6">
        <v>1</v>
      </c>
      <c r="AS6">
        <v>0</v>
      </c>
      <c r="AT6">
        <v>3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4</v>
      </c>
      <c r="BC6">
        <v>193599</v>
      </c>
      <c r="BD6" t="s">
        <v>128</v>
      </c>
      <c r="BE6">
        <v>33333.333333333336</v>
      </c>
      <c r="BF6" t="s">
        <v>129</v>
      </c>
      <c r="BM6">
        <v>0</v>
      </c>
      <c r="BP6">
        <v>75000</v>
      </c>
      <c r="CP6">
        <v>0</v>
      </c>
      <c r="CQ6">
        <v>0</v>
      </c>
      <c r="CR6">
        <v>0</v>
      </c>
    </row>
    <row r="7" spans="1:96" hidden="1" x14ac:dyDescent="0.3">
      <c r="A7">
        <v>6</v>
      </c>
      <c r="B7" t="s">
        <v>130</v>
      </c>
      <c r="C7">
        <v>9717041</v>
      </c>
      <c r="D7" t="s">
        <v>131</v>
      </c>
      <c r="E7" t="s">
        <v>132</v>
      </c>
      <c r="F7" t="s">
        <v>133</v>
      </c>
      <c r="G7" t="s">
        <v>134</v>
      </c>
      <c r="H7" s="1"/>
      <c r="I7" t="s">
        <v>101</v>
      </c>
      <c r="J7" t="s">
        <v>102</v>
      </c>
      <c r="K7" t="s">
        <v>103</v>
      </c>
      <c r="L7">
        <v>1790000088</v>
      </c>
      <c r="M7">
        <v>1</v>
      </c>
      <c r="N7">
        <v>1</v>
      </c>
      <c r="O7">
        <v>3</v>
      </c>
      <c r="P7">
        <v>3</v>
      </c>
      <c r="Q7">
        <v>3</v>
      </c>
      <c r="R7">
        <v>1</v>
      </c>
      <c r="S7">
        <v>1</v>
      </c>
      <c r="T7">
        <v>1</v>
      </c>
      <c r="U7">
        <v>1</v>
      </c>
      <c r="V7">
        <v>1</v>
      </c>
      <c r="W7">
        <v>3</v>
      </c>
      <c r="X7">
        <v>3</v>
      </c>
      <c r="Y7">
        <v>1</v>
      </c>
      <c r="Z7">
        <v>1</v>
      </c>
      <c r="AA7">
        <v>1</v>
      </c>
      <c r="AB7">
        <v>1</v>
      </c>
      <c r="AC7">
        <v>1</v>
      </c>
      <c r="AD7">
        <v>3</v>
      </c>
      <c r="AE7">
        <v>3</v>
      </c>
      <c r="AF7">
        <v>1</v>
      </c>
      <c r="AG7">
        <v>1</v>
      </c>
      <c r="AH7">
        <v>1</v>
      </c>
      <c r="AI7">
        <v>1</v>
      </c>
      <c r="AJ7">
        <v>1</v>
      </c>
      <c r="AK7">
        <v>3</v>
      </c>
      <c r="AL7">
        <v>3</v>
      </c>
      <c r="AM7">
        <v>1</v>
      </c>
      <c r="AN7">
        <v>1</v>
      </c>
      <c r="AO7">
        <v>1</v>
      </c>
      <c r="AP7">
        <v>1</v>
      </c>
      <c r="AR7">
        <v>21</v>
      </c>
      <c r="AS7">
        <v>0</v>
      </c>
      <c r="AT7">
        <v>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BW7">
        <v>110000</v>
      </c>
      <c r="CO7">
        <f>VLOOKUP(C7,'LOS HEROES'!$A$2:$D$30,4,0)</f>
        <v>100429</v>
      </c>
      <c r="CP7">
        <v>0</v>
      </c>
      <c r="CQ7">
        <v>0</v>
      </c>
      <c r="CR7">
        <v>0</v>
      </c>
    </row>
    <row r="8" spans="1:96" hidden="1" x14ac:dyDescent="0.3">
      <c r="A8">
        <v>7</v>
      </c>
      <c r="B8" t="s">
        <v>135</v>
      </c>
      <c r="C8">
        <v>9809267</v>
      </c>
      <c r="D8" t="s">
        <v>136</v>
      </c>
      <c r="E8" t="s">
        <v>137</v>
      </c>
      <c r="F8" t="s">
        <v>138</v>
      </c>
      <c r="G8" t="s">
        <v>139</v>
      </c>
      <c r="H8" s="1">
        <v>46096</v>
      </c>
      <c r="I8" t="s">
        <v>140</v>
      </c>
      <c r="J8" t="s">
        <v>102</v>
      </c>
      <c r="K8" t="s">
        <v>141</v>
      </c>
      <c r="L8">
        <v>1790000091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3</v>
      </c>
      <c r="AP8">
        <v>3</v>
      </c>
      <c r="AR8">
        <v>0</v>
      </c>
      <c r="AS8">
        <v>14</v>
      </c>
      <c r="AT8">
        <v>16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CP8">
        <v>0</v>
      </c>
      <c r="CQ8">
        <v>0</v>
      </c>
      <c r="CR8">
        <v>0</v>
      </c>
    </row>
    <row r="9" spans="1:96" hidden="1" x14ac:dyDescent="0.3">
      <c r="A9">
        <v>8</v>
      </c>
      <c r="B9" t="s">
        <v>142</v>
      </c>
      <c r="C9">
        <v>9850740</v>
      </c>
      <c r="D9" t="s">
        <v>143</v>
      </c>
      <c r="E9" t="s">
        <v>144</v>
      </c>
      <c r="F9" t="s">
        <v>145</v>
      </c>
      <c r="G9" t="s">
        <v>146</v>
      </c>
      <c r="H9" s="1">
        <v>45992</v>
      </c>
      <c r="I9" t="s">
        <v>140</v>
      </c>
      <c r="J9" t="s">
        <v>102</v>
      </c>
      <c r="K9" t="s">
        <v>147</v>
      </c>
      <c r="L9">
        <v>1790000090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R9">
        <v>0</v>
      </c>
      <c r="AS9">
        <v>14</v>
      </c>
      <c r="AT9">
        <v>16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  <c r="BC9">
        <v>235333</v>
      </c>
      <c r="BD9" t="s">
        <v>148</v>
      </c>
      <c r="BP9">
        <v>75000</v>
      </c>
      <c r="CI9">
        <v>473333</v>
      </c>
      <c r="CP9">
        <v>0</v>
      </c>
      <c r="CQ9">
        <v>0</v>
      </c>
      <c r="CR9">
        <v>0</v>
      </c>
    </row>
    <row r="10" spans="1:96" hidden="1" x14ac:dyDescent="0.3">
      <c r="A10">
        <v>9</v>
      </c>
      <c r="B10" t="s">
        <v>149</v>
      </c>
      <c r="C10">
        <v>9912965</v>
      </c>
      <c r="D10" t="s">
        <v>150</v>
      </c>
      <c r="E10" t="s">
        <v>151</v>
      </c>
      <c r="F10" t="s">
        <v>152</v>
      </c>
      <c r="G10" t="s">
        <v>153</v>
      </c>
      <c r="H10" s="1"/>
      <c r="I10" t="s">
        <v>101</v>
      </c>
      <c r="J10" t="s">
        <v>102</v>
      </c>
      <c r="K10" t="s">
        <v>103</v>
      </c>
      <c r="L10">
        <v>1740000002</v>
      </c>
      <c r="M10">
        <v>9</v>
      </c>
      <c r="N10">
        <v>9</v>
      </c>
      <c r="O10">
        <v>9</v>
      </c>
      <c r="P10">
        <v>9</v>
      </c>
      <c r="Q10">
        <v>9</v>
      </c>
      <c r="R10">
        <v>9</v>
      </c>
      <c r="S10">
        <v>1</v>
      </c>
      <c r="T10">
        <v>1</v>
      </c>
      <c r="U10">
        <v>1</v>
      </c>
      <c r="V10">
        <v>1</v>
      </c>
      <c r="W10">
        <v>3</v>
      </c>
      <c r="X10">
        <v>3</v>
      </c>
      <c r="Y10">
        <v>9</v>
      </c>
      <c r="Z10">
        <v>9</v>
      </c>
      <c r="AA10">
        <v>9</v>
      </c>
      <c r="AB10">
        <v>9</v>
      </c>
      <c r="AC10">
        <v>9</v>
      </c>
      <c r="AD10">
        <v>9</v>
      </c>
      <c r="AE10">
        <v>9</v>
      </c>
      <c r="AF10">
        <v>9</v>
      </c>
      <c r="AG10">
        <v>9</v>
      </c>
      <c r="AH10">
        <v>9</v>
      </c>
      <c r="AI10">
        <v>9</v>
      </c>
      <c r="AJ10">
        <v>9</v>
      </c>
      <c r="AK10">
        <v>9</v>
      </c>
      <c r="AL10">
        <v>9</v>
      </c>
      <c r="AM10">
        <v>9</v>
      </c>
      <c r="AN10">
        <v>9</v>
      </c>
      <c r="AO10">
        <v>9</v>
      </c>
      <c r="AP10">
        <v>9</v>
      </c>
      <c r="AR10">
        <v>4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24</v>
      </c>
      <c r="BA10">
        <v>30</v>
      </c>
      <c r="BE10">
        <v>519000</v>
      </c>
      <c r="BF10" t="s">
        <v>154</v>
      </c>
      <c r="CH10" t="s">
        <v>155</v>
      </c>
      <c r="CP10">
        <v>0</v>
      </c>
      <c r="CQ10">
        <v>0</v>
      </c>
      <c r="CR10">
        <v>0</v>
      </c>
    </row>
    <row r="11" spans="1:96" hidden="1" x14ac:dyDescent="0.3">
      <c r="A11">
        <v>10</v>
      </c>
      <c r="B11" t="s">
        <v>156</v>
      </c>
      <c r="C11">
        <v>10147391</v>
      </c>
      <c r="D11" t="s">
        <v>157</v>
      </c>
      <c r="E11" t="s">
        <v>158</v>
      </c>
      <c r="F11" t="s">
        <v>159</v>
      </c>
      <c r="G11" t="s">
        <v>160</v>
      </c>
      <c r="H11" s="1">
        <v>45992</v>
      </c>
      <c r="I11" t="s">
        <v>140</v>
      </c>
      <c r="J11" t="s">
        <v>102</v>
      </c>
      <c r="K11" t="s">
        <v>147</v>
      </c>
      <c r="L11">
        <v>1790000090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R11">
        <v>0</v>
      </c>
      <c r="AS11">
        <v>14</v>
      </c>
      <c r="AT11">
        <v>16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C11">
        <v>130833</v>
      </c>
      <c r="BD11" t="s">
        <v>148</v>
      </c>
      <c r="BP11">
        <v>75000</v>
      </c>
      <c r="CI11">
        <v>473333</v>
      </c>
      <c r="CJ11">
        <v>213354</v>
      </c>
      <c r="CP11">
        <v>0</v>
      </c>
      <c r="CQ11">
        <v>0</v>
      </c>
      <c r="CR11">
        <v>0</v>
      </c>
    </row>
    <row r="12" spans="1:96" hidden="1" x14ac:dyDescent="0.3">
      <c r="A12">
        <v>11</v>
      </c>
      <c r="B12" t="s">
        <v>161</v>
      </c>
      <c r="C12">
        <v>10192082</v>
      </c>
      <c r="D12" t="s">
        <v>162</v>
      </c>
      <c r="E12" t="s">
        <v>137</v>
      </c>
      <c r="F12" t="s">
        <v>163</v>
      </c>
      <c r="G12" t="s">
        <v>139</v>
      </c>
      <c r="H12" s="1">
        <v>46096</v>
      </c>
      <c r="I12" t="s">
        <v>140</v>
      </c>
      <c r="J12" t="s">
        <v>102</v>
      </c>
      <c r="K12" t="s">
        <v>141</v>
      </c>
      <c r="L12">
        <v>1790000091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3</v>
      </c>
      <c r="AP12">
        <v>3</v>
      </c>
      <c r="AR12">
        <v>0</v>
      </c>
      <c r="AS12">
        <v>14</v>
      </c>
      <c r="AT12">
        <v>16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  <c r="CP12">
        <v>0</v>
      </c>
      <c r="CQ12">
        <v>0</v>
      </c>
      <c r="CR12">
        <v>0</v>
      </c>
    </row>
    <row r="13" spans="1:96" x14ac:dyDescent="0.3">
      <c r="A13">
        <v>12</v>
      </c>
      <c r="B13" t="s">
        <v>164</v>
      </c>
      <c r="C13">
        <v>10420797</v>
      </c>
      <c r="D13" t="s">
        <v>165</v>
      </c>
      <c r="E13" t="s">
        <v>166</v>
      </c>
      <c r="F13" t="s">
        <v>167</v>
      </c>
      <c r="G13" t="s">
        <v>168</v>
      </c>
      <c r="H13" s="1">
        <v>45704</v>
      </c>
      <c r="I13" t="s">
        <v>101</v>
      </c>
      <c r="J13" t="s">
        <v>102</v>
      </c>
      <c r="K13" t="s">
        <v>109</v>
      </c>
      <c r="L13">
        <v>1790000088</v>
      </c>
      <c r="M13">
        <v>1</v>
      </c>
      <c r="N13">
        <v>1</v>
      </c>
      <c r="O13">
        <v>3</v>
      </c>
      <c r="P13">
        <v>3</v>
      </c>
      <c r="Q13">
        <v>3</v>
      </c>
      <c r="R13">
        <v>1</v>
      </c>
      <c r="S13">
        <v>1</v>
      </c>
      <c r="T13">
        <v>1</v>
      </c>
      <c r="U13">
        <v>1</v>
      </c>
      <c r="V13">
        <v>3</v>
      </c>
      <c r="W13">
        <v>3</v>
      </c>
      <c r="X13">
        <v>3</v>
      </c>
      <c r="Y13">
        <v>1</v>
      </c>
      <c r="Z13">
        <v>1</v>
      </c>
      <c r="AA13">
        <v>1</v>
      </c>
      <c r="AB13">
        <v>1</v>
      </c>
      <c r="AC13">
        <v>3</v>
      </c>
      <c r="AD13">
        <v>3</v>
      </c>
      <c r="AE13">
        <v>3</v>
      </c>
      <c r="AF13">
        <v>1</v>
      </c>
      <c r="AG13">
        <v>1</v>
      </c>
      <c r="AH13">
        <v>1</v>
      </c>
      <c r="AI13">
        <v>1</v>
      </c>
      <c r="AJ13">
        <v>3</v>
      </c>
      <c r="AK13">
        <v>3</v>
      </c>
      <c r="AL13">
        <v>3</v>
      </c>
      <c r="AM13">
        <v>1</v>
      </c>
      <c r="AN13">
        <v>1</v>
      </c>
      <c r="AO13">
        <v>1</v>
      </c>
      <c r="AP13">
        <v>1</v>
      </c>
      <c r="AR13">
        <v>18</v>
      </c>
      <c r="AS13">
        <v>0</v>
      </c>
      <c r="AT13">
        <v>12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  <c r="BM13">
        <v>0</v>
      </c>
      <c r="BY13">
        <v>61241</v>
      </c>
      <c r="CA13">
        <v>72000</v>
      </c>
      <c r="CB13" t="s">
        <v>169</v>
      </c>
      <c r="CM13" s="2">
        <v>211065</v>
      </c>
      <c r="CP13">
        <v>0</v>
      </c>
      <c r="CQ13">
        <v>0</v>
      </c>
      <c r="CR13">
        <v>0</v>
      </c>
    </row>
    <row r="14" spans="1:96" hidden="1" x14ac:dyDescent="0.3">
      <c r="A14">
        <v>13</v>
      </c>
      <c r="B14" t="s">
        <v>170</v>
      </c>
      <c r="C14">
        <v>10603186</v>
      </c>
      <c r="D14" t="s">
        <v>171</v>
      </c>
      <c r="E14" t="s">
        <v>172</v>
      </c>
      <c r="F14" t="s">
        <v>173</v>
      </c>
      <c r="G14" t="s">
        <v>174</v>
      </c>
      <c r="H14" s="1">
        <v>45748</v>
      </c>
      <c r="I14" t="s">
        <v>101</v>
      </c>
      <c r="J14" t="s">
        <v>102</v>
      </c>
      <c r="K14" t="s">
        <v>127</v>
      </c>
      <c r="L14">
        <v>1790000088</v>
      </c>
      <c r="M14">
        <v>1</v>
      </c>
      <c r="N14">
        <v>1</v>
      </c>
      <c r="O14">
        <v>3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3</v>
      </c>
      <c r="W14">
        <v>3</v>
      </c>
      <c r="X14">
        <v>3</v>
      </c>
      <c r="Y14">
        <v>1</v>
      </c>
      <c r="Z14">
        <v>1</v>
      </c>
      <c r="AA14">
        <v>1</v>
      </c>
      <c r="AB14">
        <v>1</v>
      </c>
      <c r="AC14">
        <v>3</v>
      </c>
      <c r="AD14">
        <v>3</v>
      </c>
      <c r="AE14">
        <v>3</v>
      </c>
      <c r="AF14">
        <v>1</v>
      </c>
      <c r="AG14">
        <v>1</v>
      </c>
      <c r="AH14">
        <v>1</v>
      </c>
      <c r="AI14">
        <v>1</v>
      </c>
      <c r="AJ14">
        <v>3</v>
      </c>
      <c r="AK14">
        <v>3</v>
      </c>
      <c r="AL14">
        <v>3</v>
      </c>
      <c r="AM14">
        <v>1</v>
      </c>
      <c r="AN14">
        <v>1</v>
      </c>
      <c r="AO14">
        <v>1</v>
      </c>
      <c r="AP14">
        <v>1</v>
      </c>
      <c r="AR14">
        <v>18</v>
      </c>
      <c r="AS14">
        <v>0</v>
      </c>
      <c r="AT14">
        <v>12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  <c r="BE14">
        <v>300000</v>
      </c>
      <c r="BF14" t="s">
        <v>175</v>
      </c>
      <c r="BM14">
        <v>0</v>
      </c>
      <c r="CM14" s="2">
        <v>209667</v>
      </c>
      <c r="CP14">
        <v>0</v>
      </c>
      <c r="CQ14">
        <v>0</v>
      </c>
      <c r="CR14">
        <v>0</v>
      </c>
    </row>
    <row r="15" spans="1:96" hidden="1" x14ac:dyDescent="0.3">
      <c r="A15">
        <v>14</v>
      </c>
      <c r="B15" t="s">
        <v>176</v>
      </c>
      <c r="C15">
        <v>10675506</v>
      </c>
      <c r="D15" t="s">
        <v>177</v>
      </c>
      <c r="E15" t="s">
        <v>178</v>
      </c>
      <c r="F15" t="s">
        <v>179</v>
      </c>
      <c r="G15" t="s">
        <v>180</v>
      </c>
      <c r="H15" s="1"/>
      <c r="I15" t="s">
        <v>101</v>
      </c>
      <c r="J15" t="s">
        <v>102</v>
      </c>
      <c r="K15" t="s">
        <v>103</v>
      </c>
      <c r="L15">
        <v>1740000003</v>
      </c>
      <c r="M15">
        <v>1</v>
      </c>
      <c r="N15">
        <v>1</v>
      </c>
      <c r="O15">
        <v>3</v>
      </c>
      <c r="P15">
        <v>3</v>
      </c>
      <c r="Q15">
        <v>3</v>
      </c>
      <c r="R15">
        <v>1</v>
      </c>
      <c r="S15">
        <v>1</v>
      </c>
      <c r="T15">
        <v>1</v>
      </c>
      <c r="U15">
        <v>1</v>
      </c>
      <c r="V15">
        <v>1</v>
      </c>
      <c r="W15">
        <v>3</v>
      </c>
      <c r="X15">
        <v>3</v>
      </c>
      <c r="Y15">
        <v>1</v>
      </c>
      <c r="Z15">
        <v>1</v>
      </c>
      <c r="AA15">
        <v>1</v>
      </c>
      <c r="AB15">
        <v>1</v>
      </c>
      <c r="AC15">
        <v>1</v>
      </c>
      <c r="AD15">
        <v>3</v>
      </c>
      <c r="AE15">
        <v>3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3</v>
      </c>
      <c r="AL15">
        <v>3</v>
      </c>
      <c r="AM15">
        <v>1</v>
      </c>
      <c r="AN15">
        <v>1</v>
      </c>
      <c r="AO15">
        <v>1</v>
      </c>
      <c r="AP15">
        <v>1</v>
      </c>
      <c r="AR15">
        <v>21</v>
      </c>
      <c r="AS15">
        <v>0</v>
      </c>
      <c r="AT15">
        <v>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  <c r="BW15">
        <v>110000</v>
      </c>
      <c r="CP15">
        <v>0</v>
      </c>
      <c r="CQ15">
        <f>VLOOKUP(C15,SEGURO!$A$2:$C$28,3,0)</f>
        <v>46667</v>
      </c>
      <c r="CR15">
        <f>VLOOKUP(C15,FALP!$A$2:$C$13,3,0)</f>
        <v>17600</v>
      </c>
    </row>
    <row r="16" spans="1:96" hidden="1" x14ac:dyDescent="0.3">
      <c r="A16">
        <v>15</v>
      </c>
      <c r="B16" t="s">
        <v>181</v>
      </c>
      <c r="C16">
        <v>10742396</v>
      </c>
      <c r="D16" t="s">
        <v>182</v>
      </c>
      <c r="E16" t="s">
        <v>183</v>
      </c>
      <c r="F16" t="s">
        <v>184</v>
      </c>
      <c r="G16" t="s">
        <v>139</v>
      </c>
      <c r="H16" s="1">
        <v>46068</v>
      </c>
      <c r="I16" t="s">
        <v>140</v>
      </c>
      <c r="J16" t="s">
        <v>102</v>
      </c>
      <c r="K16" t="s">
        <v>141</v>
      </c>
      <c r="L16">
        <v>1790000091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3</v>
      </c>
      <c r="AP16">
        <v>3</v>
      </c>
      <c r="AR16">
        <v>0</v>
      </c>
      <c r="AS16">
        <v>14</v>
      </c>
      <c r="AT16">
        <v>16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CP16">
        <v>0</v>
      </c>
      <c r="CQ16">
        <v>0</v>
      </c>
      <c r="CR16">
        <v>0</v>
      </c>
    </row>
    <row r="17" spans="1:96" hidden="1" x14ac:dyDescent="0.3">
      <c r="A17">
        <v>16</v>
      </c>
      <c r="B17" t="s">
        <v>185</v>
      </c>
      <c r="C17">
        <v>10957493</v>
      </c>
      <c r="D17" t="s">
        <v>186</v>
      </c>
      <c r="E17" t="s">
        <v>187</v>
      </c>
      <c r="F17" t="s">
        <v>188</v>
      </c>
      <c r="G17" t="s">
        <v>189</v>
      </c>
      <c r="H17" s="1">
        <v>45809</v>
      </c>
      <c r="I17" t="s">
        <v>140</v>
      </c>
      <c r="J17" t="s">
        <v>102</v>
      </c>
      <c r="K17" t="s">
        <v>190</v>
      </c>
      <c r="L17">
        <v>1790000088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1</v>
      </c>
      <c r="T17">
        <v>1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R17">
        <v>2</v>
      </c>
      <c r="AS17">
        <v>13</v>
      </c>
      <c r="AT17">
        <v>15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  <c r="BM17">
        <v>0</v>
      </c>
      <c r="CP17">
        <v>0</v>
      </c>
      <c r="CQ17">
        <v>0</v>
      </c>
      <c r="CR17">
        <v>0</v>
      </c>
    </row>
    <row r="18" spans="1:96" hidden="1" x14ac:dyDescent="0.3">
      <c r="A18">
        <v>17</v>
      </c>
      <c r="B18" t="s">
        <v>191</v>
      </c>
      <c r="C18">
        <v>11265430</v>
      </c>
      <c r="D18" t="s">
        <v>192</v>
      </c>
      <c r="E18" t="s">
        <v>193</v>
      </c>
      <c r="F18" t="s">
        <v>194</v>
      </c>
      <c r="G18" t="s">
        <v>195</v>
      </c>
      <c r="H18" s="1">
        <v>45748</v>
      </c>
      <c r="I18" t="s">
        <v>101</v>
      </c>
      <c r="J18" t="s">
        <v>102</v>
      </c>
      <c r="K18" t="s">
        <v>196</v>
      </c>
      <c r="L18">
        <v>1790000088</v>
      </c>
      <c r="M18">
        <v>1</v>
      </c>
      <c r="N18">
        <v>1</v>
      </c>
      <c r="O18">
        <v>3</v>
      </c>
      <c r="P18">
        <v>3</v>
      </c>
      <c r="Q18">
        <v>3</v>
      </c>
      <c r="R18">
        <v>1</v>
      </c>
      <c r="S18">
        <v>1</v>
      </c>
      <c r="T18">
        <v>1</v>
      </c>
      <c r="U18">
        <v>1</v>
      </c>
      <c r="V18">
        <v>3</v>
      </c>
      <c r="W18">
        <v>3</v>
      </c>
      <c r="X18">
        <v>3</v>
      </c>
      <c r="Y18">
        <v>1</v>
      </c>
      <c r="Z18">
        <v>1</v>
      </c>
      <c r="AA18">
        <v>1</v>
      </c>
      <c r="AB18">
        <v>1</v>
      </c>
      <c r="AC18">
        <v>3</v>
      </c>
      <c r="AD18">
        <v>3</v>
      </c>
      <c r="AE18">
        <v>3</v>
      </c>
      <c r="AF18">
        <v>1</v>
      </c>
      <c r="AG18">
        <v>1</v>
      </c>
      <c r="AH18">
        <v>1</v>
      </c>
      <c r="AI18">
        <v>1</v>
      </c>
      <c r="AJ18">
        <v>3</v>
      </c>
      <c r="AK18">
        <v>3</v>
      </c>
      <c r="AL18">
        <v>3</v>
      </c>
      <c r="AM18">
        <v>1</v>
      </c>
      <c r="AN18">
        <v>1</v>
      </c>
      <c r="AO18">
        <v>1</v>
      </c>
      <c r="AP18">
        <v>1</v>
      </c>
      <c r="AR18">
        <v>18</v>
      </c>
      <c r="AS18">
        <v>0</v>
      </c>
      <c r="AT18">
        <v>12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  <c r="BE18">
        <v>837000</v>
      </c>
      <c r="BF18" t="s">
        <v>197</v>
      </c>
      <c r="BM18">
        <v>0</v>
      </c>
      <c r="CP18">
        <v>0</v>
      </c>
      <c r="CQ18">
        <f>VLOOKUP(C18,SEGURO!$A$2:$C$28,3,0)</f>
        <v>45318</v>
      </c>
      <c r="CR18">
        <v>0</v>
      </c>
    </row>
    <row r="19" spans="1:96" x14ac:dyDescent="0.3">
      <c r="A19">
        <v>18</v>
      </c>
      <c r="B19" t="s">
        <v>198</v>
      </c>
      <c r="C19">
        <v>11387365</v>
      </c>
      <c r="D19" t="s">
        <v>199</v>
      </c>
      <c r="E19" t="s">
        <v>200</v>
      </c>
      <c r="F19" t="s">
        <v>201</v>
      </c>
      <c r="G19" t="s">
        <v>202</v>
      </c>
      <c r="H19" s="1">
        <v>46082</v>
      </c>
      <c r="I19" t="s">
        <v>101</v>
      </c>
      <c r="J19" t="s">
        <v>102</v>
      </c>
      <c r="K19" t="s">
        <v>147</v>
      </c>
      <c r="L19">
        <v>1790000090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R19">
        <v>0</v>
      </c>
      <c r="AS19">
        <v>14</v>
      </c>
      <c r="AT19">
        <v>16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C19">
        <v>215000</v>
      </c>
      <c r="BD19" t="s">
        <v>148</v>
      </c>
      <c r="BP19">
        <v>75000</v>
      </c>
      <c r="BY19">
        <v>98114</v>
      </c>
      <c r="CI19">
        <v>315556</v>
      </c>
      <c r="CP19">
        <v>0</v>
      </c>
      <c r="CQ19">
        <v>0</v>
      </c>
      <c r="CR19">
        <v>0</v>
      </c>
    </row>
    <row r="20" spans="1:96" hidden="1" x14ac:dyDescent="0.3">
      <c r="A20">
        <v>19</v>
      </c>
      <c r="B20" t="s">
        <v>203</v>
      </c>
      <c r="C20">
        <v>11511458</v>
      </c>
      <c r="D20" t="s">
        <v>204</v>
      </c>
      <c r="E20" t="s">
        <v>205</v>
      </c>
      <c r="F20" t="s">
        <v>206</v>
      </c>
      <c r="G20" t="s">
        <v>207</v>
      </c>
      <c r="H20" s="1">
        <v>45992</v>
      </c>
      <c r="I20" t="s">
        <v>140</v>
      </c>
      <c r="J20" t="s">
        <v>102</v>
      </c>
      <c r="K20" t="s">
        <v>208</v>
      </c>
      <c r="L20">
        <v>1790000090</v>
      </c>
      <c r="M20">
        <v>2</v>
      </c>
      <c r="N20">
        <v>2</v>
      </c>
      <c r="O20">
        <v>8</v>
      </c>
      <c r="P20">
        <v>8</v>
      </c>
      <c r="Q20">
        <v>2</v>
      </c>
      <c r="R20">
        <v>2</v>
      </c>
      <c r="S20">
        <v>2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R20">
        <v>0</v>
      </c>
      <c r="AS20">
        <v>5</v>
      </c>
      <c r="AT20">
        <v>14</v>
      </c>
      <c r="AU20">
        <v>0</v>
      </c>
      <c r="AV20">
        <v>0</v>
      </c>
      <c r="AW20">
        <v>0</v>
      </c>
      <c r="AX20">
        <v>0</v>
      </c>
      <c r="AY20">
        <v>2</v>
      </c>
      <c r="AZ20">
        <v>0</v>
      </c>
      <c r="BA20">
        <v>21</v>
      </c>
      <c r="BM20">
        <v>2</v>
      </c>
      <c r="BN20">
        <v>180000</v>
      </c>
      <c r="BP20">
        <v>52500</v>
      </c>
      <c r="CI20">
        <v>315555</v>
      </c>
      <c r="CO20">
        <f>VLOOKUP(C20,'LOS HEROES'!$A$2:$D$30,4,0)</f>
        <v>62330</v>
      </c>
      <c r="CP20">
        <v>0</v>
      </c>
      <c r="CQ20">
        <v>0</v>
      </c>
      <c r="CR20">
        <v>0</v>
      </c>
    </row>
    <row r="21" spans="1:96" hidden="1" x14ac:dyDescent="0.3">
      <c r="A21">
        <v>20</v>
      </c>
      <c r="B21" t="s">
        <v>209</v>
      </c>
      <c r="C21">
        <v>11734191</v>
      </c>
      <c r="D21" t="s">
        <v>210</v>
      </c>
      <c r="E21" t="s">
        <v>211</v>
      </c>
      <c r="F21" t="s">
        <v>212</v>
      </c>
      <c r="G21" t="s">
        <v>213</v>
      </c>
      <c r="H21" s="1">
        <v>45756</v>
      </c>
      <c r="I21" t="s">
        <v>140</v>
      </c>
      <c r="J21" t="s">
        <v>102</v>
      </c>
      <c r="K21" t="s">
        <v>127</v>
      </c>
      <c r="L21">
        <v>1790000088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R21">
        <v>21</v>
      </c>
      <c r="AS21">
        <v>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  <c r="BM21">
        <v>0</v>
      </c>
      <c r="CP21">
        <v>0</v>
      </c>
      <c r="CQ21">
        <v>0</v>
      </c>
      <c r="CR21">
        <v>0</v>
      </c>
    </row>
    <row r="22" spans="1:96" x14ac:dyDescent="0.3">
      <c r="A22">
        <v>21</v>
      </c>
      <c r="B22" t="s">
        <v>214</v>
      </c>
      <c r="C22">
        <v>11820207</v>
      </c>
      <c r="D22" t="s">
        <v>215</v>
      </c>
      <c r="E22" t="s">
        <v>216</v>
      </c>
      <c r="F22" t="s">
        <v>217</v>
      </c>
      <c r="G22" t="s">
        <v>189</v>
      </c>
      <c r="H22" s="1">
        <v>46092</v>
      </c>
      <c r="I22" t="s">
        <v>140</v>
      </c>
      <c r="J22" t="s">
        <v>102</v>
      </c>
      <c r="K22" t="s">
        <v>147</v>
      </c>
      <c r="L22">
        <v>1790000090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R22">
        <v>0</v>
      </c>
      <c r="AS22">
        <v>14</v>
      </c>
      <c r="AT22">
        <v>16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  <c r="BC22">
        <v>266667</v>
      </c>
      <c r="BD22" t="s">
        <v>148</v>
      </c>
      <c r="BK22">
        <v>160000</v>
      </c>
      <c r="BL22" t="s">
        <v>218</v>
      </c>
      <c r="BP22">
        <v>75000</v>
      </c>
      <c r="BY22">
        <v>24000</v>
      </c>
      <c r="CI22">
        <v>157778</v>
      </c>
      <c r="CP22">
        <v>0</v>
      </c>
      <c r="CQ22">
        <v>0</v>
      </c>
      <c r="CR22">
        <v>0</v>
      </c>
    </row>
    <row r="23" spans="1:96" hidden="1" x14ac:dyDescent="0.3">
      <c r="A23">
        <v>22</v>
      </c>
      <c r="B23" t="s">
        <v>219</v>
      </c>
      <c r="C23">
        <v>11876153</v>
      </c>
      <c r="D23" t="s">
        <v>220</v>
      </c>
      <c r="E23" t="s">
        <v>221</v>
      </c>
      <c r="F23" t="s">
        <v>222</v>
      </c>
      <c r="G23" t="s">
        <v>223</v>
      </c>
      <c r="H23" s="1"/>
      <c r="I23" t="s">
        <v>101</v>
      </c>
      <c r="J23" t="s">
        <v>102</v>
      </c>
      <c r="K23" t="s">
        <v>103</v>
      </c>
      <c r="L23">
        <v>1790000090</v>
      </c>
      <c r="M23">
        <v>1</v>
      </c>
      <c r="N23">
        <v>1</v>
      </c>
      <c r="O23">
        <v>3</v>
      </c>
      <c r="P23">
        <v>3</v>
      </c>
      <c r="Q23">
        <v>3</v>
      </c>
      <c r="R23">
        <v>1</v>
      </c>
      <c r="S23">
        <v>3</v>
      </c>
      <c r="T23">
        <v>3</v>
      </c>
      <c r="U23">
        <v>1</v>
      </c>
      <c r="V23">
        <v>1</v>
      </c>
      <c r="W23">
        <v>1</v>
      </c>
      <c r="X23">
        <v>1</v>
      </c>
      <c r="Y23">
        <v>1</v>
      </c>
      <c r="Z23">
        <v>3</v>
      </c>
      <c r="AA23">
        <v>3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3</v>
      </c>
      <c r="AH23">
        <v>3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R23">
        <v>21</v>
      </c>
      <c r="AS23">
        <v>0</v>
      </c>
      <c r="AT23">
        <v>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  <c r="BW23">
        <v>110000</v>
      </c>
      <c r="CE23">
        <v>77281</v>
      </c>
      <c r="CO23">
        <f>VLOOKUP(C23,'LOS HEROES'!$A$2:$D$30,4,0)</f>
        <v>451560</v>
      </c>
      <c r="CP23">
        <v>0</v>
      </c>
      <c r="CQ23">
        <f>VLOOKUP(C23,SEGURO!$A$2:$C$28,3,0)</f>
        <v>46667</v>
      </c>
      <c r="CR23">
        <f>VLOOKUP(C23,FALP!$A$2:$C$13,3,0)</f>
        <v>17600</v>
      </c>
    </row>
    <row r="24" spans="1:96" hidden="1" x14ac:dyDescent="0.3">
      <c r="A24">
        <v>23</v>
      </c>
      <c r="B24" t="s">
        <v>224</v>
      </c>
      <c r="C24">
        <v>11922653</v>
      </c>
      <c r="D24" t="s">
        <v>225</v>
      </c>
      <c r="E24" t="s">
        <v>226</v>
      </c>
      <c r="F24" t="s">
        <v>227</v>
      </c>
      <c r="G24" t="s">
        <v>228</v>
      </c>
      <c r="H24" s="1"/>
      <c r="I24" t="s">
        <v>101</v>
      </c>
      <c r="J24" t="s">
        <v>102</v>
      </c>
      <c r="K24" t="s">
        <v>103</v>
      </c>
      <c r="L24">
        <v>1790000088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1</v>
      </c>
      <c r="T24">
        <v>1</v>
      </c>
      <c r="U24">
        <v>1</v>
      </c>
      <c r="V24">
        <v>1</v>
      </c>
      <c r="W24">
        <v>3</v>
      </c>
      <c r="X24">
        <v>3</v>
      </c>
      <c r="Y24">
        <v>1</v>
      </c>
      <c r="Z24">
        <v>1</v>
      </c>
      <c r="AA24">
        <v>1</v>
      </c>
      <c r="AB24">
        <v>1</v>
      </c>
      <c r="AC24">
        <v>1</v>
      </c>
      <c r="AD24">
        <v>3</v>
      </c>
      <c r="AE24">
        <v>3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3</v>
      </c>
      <c r="AL24">
        <v>3</v>
      </c>
      <c r="AM24">
        <v>1</v>
      </c>
      <c r="AN24">
        <v>1</v>
      </c>
      <c r="AO24">
        <v>1</v>
      </c>
      <c r="AP24">
        <v>1</v>
      </c>
      <c r="AR24">
        <v>18</v>
      </c>
      <c r="AS24">
        <v>0</v>
      </c>
      <c r="AT24">
        <v>6</v>
      </c>
      <c r="AU24">
        <v>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24</v>
      </c>
      <c r="CO24">
        <f>VLOOKUP(C24,'LOS HEROES'!$A$2:$D$30,4,0)</f>
        <v>309350</v>
      </c>
      <c r="CP24">
        <v>0</v>
      </c>
      <c r="CQ24">
        <f>VLOOKUP(C24,SEGURO!$A$2:$C$28,3,0)</f>
        <v>32725</v>
      </c>
      <c r="CR24">
        <v>0</v>
      </c>
    </row>
    <row r="25" spans="1:96" hidden="1" x14ac:dyDescent="0.3">
      <c r="A25">
        <v>24</v>
      </c>
      <c r="B25" t="s">
        <v>229</v>
      </c>
      <c r="C25">
        <v>12038137</v>
      </c>
      <c r="D25" t="s">
        <v>230</v>
      </c>
      <c r="E25" t="s">
        <v>231</v>
      </c>
      <c r="F25" t="s">
        <v>232</v>
      </c>
      <c r="G25" t="s">
        <v>233</v>
      </c>
      <c r="H25" s="1">
        <v>45924</v>
      </c>
      <c r="I25" t="s">
        <v>140</v>
      </c>
      <c r="J25" t="s">
        <v>102</v>
      </c>
      <c r="K25" t="s">
        <v>190</v>
      </c>
      <c r="L25">
        <v>1790000088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AR25">
        <v>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11</v>
      </c>
      <c r="BM25">
        <v>0</v>
      </c>
      <c r="CP25">
        <v>0</v>
      </c>
      <c r="CQ25">
        <v>0</v>
      </c>
      <c r="CR25">
        <v>0</v>
      </c>
    </row>
    <row r="26" spans="1:96" hidden="1" x14ac:dyDescent="0.3">
      <c r="A26">
        <v>25</v>
      </c>
      <c r="B26" t="s">
        <v>234</v>
      </c>
      <c r="C26">
        <v>12227004</v>
      </c>
      <c r="D26" t="s">
        <v>235</v>
      </c>
      <c r="E26" t="s">
        <v>166</v>
      </c>
      <c r="F26" t="s">
        <v>236</v>
      </c>
      <c r="G26" t="s">
        <v>237</v>
      </c>
      <c r="H26" s="1"/>
      <c r="I26" t="s">
        <v>101</v>
      </c>
      <c r="J26" t="s">
        <v>102</v>
      </c>
      <c r="K26" t="s">
        <v>103</v>
      </c>
      <c r="L26">
        <v>1760000001</v>
      </c>
      <c r="M26">
        <v>1</v>
      </c>
      <c r="N26">
        <v>1</v>
      </c>
      <c r="O26">
        <v>3</v>
      </c>
      <c r="P26">
        <v>3</v>
      </c>
      <c r="Q26">
        <v>3</v>
      </c>
      <c r="R26">
        <v>1</v>
      </c>
      <c r="S26">
        <v>1</v>
      </c>
      <c r="T26">
        <v>1</v>
      </c>
      <c r="U26">
        <v>1</v>
      </c>
      <c r="V26">
        <v>1</v>
      </c>
      <c r="W26">
        <v>3</v>
      </c>
      <c r="X26">
        <v>3</v>
      </c>
      <c r="Y26">
        <v>1</v>
      </c>
      <c r="Z26">
        <v>1</v>
      </c>
      <c r="AA26">
        <v>1</v>
      </c>
      <c r="AB26">
        <v>1</v>
      </c>
      <c r="AC26">
        <v>1</v>
      </c>
      <c r="AD26">
        <v>3</v>
      </c>
      <c r="AE26">
        <v>3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3</v>
      </c>
      <c r="AL26">
        <v>3</v>
      </c>
      <c r="AM26">
        <v>1</v>
      </c>
      <c r="AN26">
        <v>1</v>
      </c>
      <c r="AO26">
        <v>1</v>
      </c>
      <c r="AP26">
        <v>1</v>
      </c>
      <c r="AR26">
        <v>21</v>
      </c>
      <c r="AS26">
        <v>0</v>
      </c>
      <c r="AT26">
        <v>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  <c r="BE26">
        <v>179000</v>
      </c>
      <c r="BF26" t="s">
        <v>238</v>
      </c>
      <c r="CP26">
        <v>0</v>
      </c>
      <c r="CQ26">
        <f>VLOOKUP(C26,SEGURO!$A$2:$C$28,3,0)</f>
        <v>32725</v>
      </c>
      <c r="CR26">
        <f>VLOOKUP(C26,FALP!$A$2:$C$13,3,0)</f>
        <v>17600</v>
      </c>
    </row>
    <row r="27" spans="1:96" hidden="1" x14ac:dyDescent="0.3">
      <c r="A27">
        <v>26</v>
      </c>
      <c r="B27" t="s">
        <v>239</v>
      </c>
      <c r="C27">
        <v>12397806</v>
      </c>
      <c r="D27" t="s">
        <v>240</v>
      </c>
      <c r="E27" t="s">
        <v>241</v>
      </c>
      <c r="F27" t="s">
        <v>242</v>
      </c>
      <c r="G27" t="s">
        <v>233</v>
      </c>
      <c r="H27" s="1">
        <v>46064</v>
      </c>
      <c r="I27" t="s">
        <v>140</v>
      </c>
      <c r="J27" t="s">
        <v>102</v>
      </c>
      <c r="K27" t="s">
        <v>243</v>
      </c>
      <c r="L27">
        <v>1790000090</v>
      </c>
      <c r="M27">
        <v>2</v>
      </c>
      <c r="N27">
        <v>2</v>
      </c>
      <c r="O27">
        <v>8</v>
      </c>
      <c r="P27">
        <v>8</v>
      </c>
      <c r="Q27">
        <v>2</v>
      </c>
      <c r="R27">
        <v>2</v>
      </c>
      <c r="S27">
        <v>2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R27">
        <v>0</v>
      </c>
      <c r="AS27">
        <v>5</v>
      </c>
      <c r="AT27">
        <v>14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21</v>
      </c>
      <c r="BM27">
        <v>2</v>
      </c>
      <c r="BN27">
        <v>180000</v>
      </c>
      <c r="BP27">
        <v>52500</v>
      </c>
      <c r="CI27">
        <v>157778</v>
      </c>
      <c r="CP27">
        <v>0</v>
      </c>
      <c r="CQ27">
        <v>0</v>
      </c>
      <c r="CR27">
        <v>0</v>
      </c>
    </row>
    <row r="28" spans="1:96" hidden="1" x14ac:dyDescent="0.3">
      <c r="A28">
        <v>27</v>
      </c>
      <c r="B28" t="s">
        <v>244</v>
      </c>
      <c r="C28">
        <v>12443848</v>
      </c>
      <c r="D28" t="s">
        <v>245</v>
      </c>
      <c r="E28" t="s">
        <v>246</v>
      </c>
      <c r="F28" t="s">
        <v>247</v>
      </c>
      <c r="G28" t="s">
        <v>139</v>
      </c>
      <c r="H28" s="1">
        <v>46096</v>
      </c>
      <c r="I28" t="s">
        <v>140</v>
      </c>
      <c r="J28" t="s">
        <v>102</v>
      </c>
      <c r="K28" t="s">
        <v>141</v>
      </c>
      <c r="L28">
        <v>1790000091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3</v>
      </c>
      <c r="AP28">
        <v>3</v>
      </c>
      <c r="AR28">
        <v>0</v>
      </c>
      <c r="AS28">
        <v>14</v>
      </c>
      <c r="AT28">
        <v>16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  <c r="CP28">
        <v>0</v>
      </c>
      <c r="CQ28">
        <v>0</v>
      </c>
      <c r="CR28">
        <v>0</v>
      </c>
    </row>
    <row r="29" spans="1:96" hidden="1" x14ac:dyDescent="0.3">
      <c r="A29">
        <v>28</v>
      </c>
      <c r="B29" t="s">
        <v>248</v>
      </c>
      <c r="C29">
        <v>12487485</v>
      </c>
      <c r="D29" t="s">
        <v>249</v>
      </c>
      <c r="E29" t="s">
        <v>250</v>
      </c>
      <c r="F29" t="s">
        <v>251</v>
      </c>
      <c r="G29" t="s">
        <v>252</v>
      </c>
      <c r="H29" s="1"/>
      <c r="I29" t="s">
        <v>101</v>
      </c>
      <c r="J29" t="s">
        <v>253</v>
      </c>
      <c r="K29" t="s">
        <v>103</v>
      </c>
      <c r="L29">
        <v>1720000001</v>
      </c>
      <c r="M29">
        <v>1</v>
      </c>
      <c r="N29">
        <v>1</v>
      </c>
      <c r="O29">
        <v>3</v>
      </c>
      <c r="P29">
        <v>3</v>
      </c>
      <c r="Q29">
        <v>3</v>
      </c>
      <c r="R29">
        <v>1</v>
      </c>
      <c r="S29">
        <v>1</v>
      </c>
      <c r="T29">
        <v>1</v>
      </c>
      <c r="U29">
        <v>1</v>
      </c>
      <c r="V29">
        <v>1</v>
      </c>
      <c r="W29">
        <v>3</v>
      </c>
      <c r="X29">
        <v>3</v>
      </c>
      <c r="Y29">
        <v>1</v>
      </c>
      <c r="Z29">
        <v>1</v>
      </c>
      <c r="AA29">
        <v>1</v>
      </c>
      <c r="AB29">
        <v>1</v>
      </c>
      <c r="AC29">
        <v>9</v>
      </c>
      <c r="AD29">
        <v>3</v>
      </c>
      <c r="AE29">
        <v>3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3</v>
      </c>
      <c r="AL29">
        <v>3</v>
      </c>
      <c r="AM29">
        <v>1</v>
      </c>
      <c r="AN29">
        <v>1</v>
      </c>
      <c r="AO29">
        <v>1</v>
      </c>
      <c r="AP29">
        <v>1</v>
      </c>
      <c r="AR29">
        <v>20</v>
      </c>
      <c r="AS29">
        <v>0</v>
      </c>
      <c r="AT29">
        <v>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30</v>
      </c>
      <c r="CP29">
        <v>0</v>
      </c>
      <c r="CQ29">
        <f>VLOOKUP(C29,SEGURO!$A$2:$C$28,3,0)</f>
        <v>18779</v>
      </c>
      <c r="CR29">
        <f>VLOOKUP(C29,FALP!$A$2:$C$13,3,0)</f>
        <v>17600</v>
      </c>
    </row>
    <row r="30" spans="1:96" x14ac:dyDescent="0.3">
      <c r="A30">
        <v>29</v>
      </c>
      <c r="B30" t="s">
        <v>254</v>
      </c>
      <c r="C30">
        <v>12543039</v>
      </c>
      <c r="D30" t="s">
        <v>255</v>
      </c>
      <c r="E30" t="s">
        <v>256</v>
      </c>
      <c r="F30" t="s">
        <v>257</v>
      </c>
      <c r="G30" t="s">
        <v>160</v>
      </c>
      <c r="H30" s="1">
        <v>45995</v>
      </c>
      <c r="I30" t="s">
        <v>140</v>
      </c>
      <c r="J30" t="s">
        <v>102</v>
      </c>
      <c r="K30" t="s">
        <v>147</v>
      </c>
      <c r="L30">
        <v>1790000090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R30">
        <v>0</v>
      </c>
      <c r="AS30">
        <v>14</v>
      </c>
      <c r="AT30">
        <v>16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30</v>
      </c>
      <c r="BC30">
        <v>130833</v>
      </c>
      <c r="BD30" t="s">
        <v>148</v>
      </c>
      <c r="BP30">
        <v>75000</v>
      </c>
      <c r="BY30">
        <v>50900</v>
      </c>
      <c r="CI30">
        <v>473333</v>
      </c>
      <c r="CJ30">
        <v>213354</v>
      </c>
      <c r="CP30">
        <v>0</v>
      </c>
      <c r="CQ30">
        <v>0</v>
      </c>
      <c r="CR30">
        <v>0</v>
      </c>
    </row>
    <row r="31" spans="1:96" hidden="1" x14ac:dyDescent="0.3">
      <c r="A31">
        <v>30</v>
      </c>
      <c r="B31" t="s">
        <v>258</v>
      </c>
      <c r="C31">
        <v>12572374</v>
      </c>
      <c r="D31" t="s">
        <v>150</v>
      </c>
      <c r="E31" t="s">
        <v>259</v>
      </c>
      <c r="F31" t="s">
        <v>260</v>
      </c>
      <c r="G31" t="s">
        <v>202</v>
      </c>
      <c r="H31" s="1">
        <v>46082</v>
      </c>
      <c r="I31" t="s">
        <v>101</v>
      </c>
      <c r="J31" t="s">
        <v>102</v>
      </c>
      <c r="K31" t="s">
        <v>243</v>
      </c>
      <c r="L31">
        <v>1790000090</v>
      </c>
      <c r="M31">
        <v>2</v>
      </c>
      <c r="N31">
        <v>2</v>
      </c>
      <c r="O31">
        <v>8</v>
      </c>
      <c r="P31">
        <v>8</v>
      </c>
      <c r="Q31">
        <v>2</v>
      </c>
      <c r="R31">
        <v>2</v>
      </c>
      <c r="S31">
        <v>2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R31">
        <v>0</v>
      </c>
      <c r="AS31">
        <v>5</v>
      </c>
      <c r="AT31">
        <v>14</v>
      </c>
      <c r="AU31">
        <v>0</v>
      </c>
      <c r="AV31">
        <v>0</v>
      </c>
      <c r="AW31">
        <v>0</v>
      </c>
      <c r="AX31">
        <v>0</v>
      </c>
      <c r="AY31">
        <v>2</v>
      </c>
      <c r="AZ31">
        <v>0</v>
      </c>
      <c r="BA31">
        <v>21</v>
      </c>
      <c r="BM31">
        <v>2</v>
      </c>
      <c r="BN31">
        <v>258000</v>
      </c>
      <c r="BP31">
        <v>52500</v>
      </c>
      <c r="CI31">
        <v>157778</v>
      </c>
      <c r="CP31">
        <v>0</v>
      </c>
      <c r="CQ31">
        <v>0</v>
      </c>
      <c r="CR31">
        <v>0</v>
      </c>
    </row>
    <row r="32" spans="1:96" hidden="1" x14ac:dyDescent="0.3">
      <c r="A32">
        <v>31</v>
      </c>
      <c r="B32" t="s">
        <v>261</v>
      </c>
      <c r="C32">
        <v>12612919</v>
      </c>
      <c r="D32" t="s">
        <v>262</v>
      </c>
      <c r="E32" t="s">
        <v>263</v>
      </c>
      <c r="F32" t="s">
        <v>264</v>
      </c>
      <c r="G32" t="s">
        <v>160</v>
      </c>
      <c r="H32" s="1">
        <v>45858</v>
      </c>
      <c r="I32" t="s">
        <v>140</v>
      </c>
      <c r="J32" t="s">
        <v>102</v>
      </c>
      <c r="K32" t="s">
        <v>127</v>
      </c>
      <c r="L32">
        <v>1790000088</v>
      </c>
      <c r="M32">
        <v>2</v>
      </c>
      <c r="N32">
        <v>2</v>
      </c>
      <c r="O32">
        <v>8</v>
      </c>
      <c r="P32">
        <v>8</v>
      </c>
      <c r="Q32">
        <v>2</v>
      </c>
      <c r="R32">
        <v>2</v>
      </c>
      <c r="S32">
        <v>2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R32">
        <v>0</v>
      </c>
      <c r="AS32">
        <v>14</v>
      </c>
      <c r="AT32">
        <v>14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0</v>
      </c>
      <c r="BA32">
        <v>30</v>
      </c>
      <c r="BM32">
        <v>2</v>
      </c>
      <c r="BN32">
        <v>149200</v>
      </c>
      <c r="CP32">
        <v>0</v>
      </c>
      <c r="CQ32">
        <v>0</v>
      </c>
      <c r="CR32">
        <v>0</v>
      </c>
    </row>
    <row r="33" spans="1:96" hidden="1" x14ac:dyDescent="0.3">
      <c r="A33">
        <v>32</v>
      </c>
      <c r="B33" t="s">
        <v>265</v>
      </c>
      <c r="C33">
        <v>12807347</v>
      </c>
      <c r="D33" t="s">
        <v>230</v>
      </c>
      <c r="E33" t="s">
        <v>266</v>
      </c>
      <c r="F33" t="s">
        <v>267</v>
      </c>
      <c r="G33" t="s">
        <v>233</v>
      </c>
      <c r="H33" s="1">
        <v>46003</v>
      </c>
      <c r="I33" t="s">
        <v>140</v>
      </c>
      <c r="J33" t="s">
        <v>102</v>
      </c>
      <c r="K33" t="s">
        <v>147</v>
      </c>
      <c r="L33">
        <v>1790000090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R33">
        <v>0</v>
      </c>
      <c r="AS33">
        <v>14</v>
      </c>
      <c r="AT33">
        <v>16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  <c r="BC33">
        <v>150000</v>
      </c>
      <c r="BD33" t="s">
        <v>148</v>
      </c>
      <c r="BP33">
        <v>75000</v>
      </c>
      <c r="CI33">
        <v>473333</v>
      </c>
      <c r="CP33">
        <v>0</v>
      </c>
      <c r="CQ33">
        <v>0</v>
      </c>
      <c r="CR33">
        <v>0</v>
      </c>
    </row>
    <row r="34" spans="1:96" hidden="1" x14ac:dyDescent="0.3">
      <c r="A34">
        <v>33</v>
      </c>
      <c r="B34" t="s">
        <v>268</v>
      </c>
      <c r="C34">
        <v>12943659</v>
      </c>
      <c r="D34" t="s">
        <v>269</v>
      </c>
      <c r="E34" t="s">
        <v>269</v>
      </c>
      <c r="F34" t="s">
        <v>270</v>
      </c>
      <c r="G34" t="s">
        <v>271</v>
      </c>
      <c r="H34" s="1">
        <v>45992</v>
      </c>
      <c r="I34" t="s">
        <v>101</v>
      </c>
      <c r="J34" t="s">
        <v>102</v>
      </c>
      <c r="K34" t="s">
        <v>272</v>
      </c>
      <c r="L34">
        <v>1790000090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R34">
        <v>0</v>
      </c>
      <c r="AS34">
        <v>14</v>
      </c>
      <c r="AT34">
        <v>16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  <c r="BC34">
        <v>428833</v>
      </c>
      <c r="BD34" t="s">
        <v>148</v>
      </c>
      <c r="BE34">
        <v>860000</v>
      </c>
      <c r="BF34" t="s">
        <v>273</v>
      </c>
      <c r="BK34">
        <v>257300</v>
      </c>
      <c r="BL34" t="s">
        <v>218</v>
      </c>
      <c r="CE34">
        <v>77281</v>
      </c>
      <c r="CI34">
        <v>473333</v>
      </c>
      <c r="CO34">
        <f>VLOOKUP(C34,'LOS HEROES'!$A$2:$D$30,4,0)</f>
        <v>290002</v>
      </c>
      <c r="CP34">
        <v>0</v>
      </c>
      <c r="CQ34">
        <v>0</v>
      </c>
      <c r="CR34">
        <v>0</v>
      </c>
    </row>
    <row r="35" spans="1:96" x14ac:dyDescent="0.3">
      <c r="A35">
        <v>34</v>
      </c>
      <c r="B35" t="s">
        <v>274</v>
      </c>
      <c r="C35">
        <v>12953191</v>
      </c>
      <c r="D35" t="s">
        <v>275</v>
      </c>
      <c r="E35" t="s">
        <v>276</v>
      </c>
      <c r="F35" t="s">
        <v>277</v>
      </c>
      <c r="G35" t="s">
        <v>278</v>
      </c>
      <c r="H35" s="1">
        <v>45971</v>
      </c>
      <c r="I35" t="s">
        <v>140</v>
      </c>
      <c r="J35" t="s">
        <v>102</v>
      </c>
      <c r="K35" t="s">
        <v>279</v>
      </c>
      <c r="L35">
        <v>1790000090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3</v>
      </c>
      <c r="AP35">
        <v>3</v>
      </c>
      <c r="AR35">
        <v>0</v>
      </c>
      <c r="AS35">
        <v>14</v>
      </c>
      <c r="AT35">
        <v>16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30</v>
      </c>
      <c r="BC35">
        <v>620000</v>
      </c>
      <c r="BD35" t="s">
        <v>148</v>
      </c>
      <c r="BP35">
        <v>75000</v>
      </c>
      <c r="BY35">
        <v>31000</v>
      </c>
      <c r="CI35">
        <v>473333</v>
      </c>
      <c r="CP35">
        <v>0</v>
      </c>
      <c r="CQ35">
        <v>0</v>
      </c>
      <c r="CR35">
        <v>0</v>
      </c>
    </row>
    <row r="36" spans="1:96" hidden="1" x14ac:dyDescent="0.3">
      <c r="A36">
        <v>35</v>
      </c>
      <c r="B36" t="s">
        <v>280</v>
      </c>
      <c r="C36">
        <v>13012039</v>
      </c>
      <c r="D36" t="s">
        <v>281</v>
      </c>
      <c r="E36" t="s">
        <v>282</v>
      </c>
      <c r="F36" t="s">
        <v>283</v>
      </c>
      <c r="G36" t="s">
        <v>284</v>
      </c>
      <c r="H36" s="1">
        <v>46118</v>
      </c>
      <c r="I36" t="s">
        <v>101</v>
      </c>
      <c r="J36" t="s">
        <v>102</v>
      </c>
      <c r="K36" t="s">
        <v>103</v>
      </c>
      <c r="L36">
        <v>1790000088</v>
      </c>
      <c r="R36">
        <v>1</v>
      </c>
      <c r="S36">
        <v>1</v>
      </c>
      <c r="T36">
        <v>1</v>
      </c>
      <c r="U36">
        <v>1</v>
      </c>
      <c r="V36">
        <v>1</v>
      </c>
      <c r="W36">
        <v>3</v>
      </c>
      <c r="X36">
        <v>3</v>
      </c>
      <c r="Y36">
        <v>1</v>
      </c>
      <c r="Z36">
        <v>1</v>
      </c>
      <c r="AA36">
        <v>1</v>
      </c>
      <c r="AB36">
        <v>1</v>
      </c>
      <c r="AC36">
        <v>1</v>
      </c>
      <c r="AD36">
        <v>3</v>
      </c>
      <c r="AE36">
        <v>3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3</v>
      </c>
      <c r="AL36">
        <v>3</v>
      </c>
      <c r="AM36">
        <v>1</v>
      </c>
      <c r="AN36">
        <v>1</v>
      </c>
      <c r="AO36">
        <v>1</v>
      </c>
      <c r="AP36">
        <v>1</v>
      </c>
      <c r="AR36">
        <v>19</v>
      </c>
      <c r="AS36">
        <v>0</v>
      </c>
      <c r="AT36">
        <v>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25</v>
      </c>
      <c r="CP36">
        <v>0</v>
      </c>
      <c r="CQ36">
        <v>0</v>
      </c>
      <c r="CR36">
        <v>0</v>
      </c>
    </row>
    <row r="37" spans="1:96" hidden="1" x14ac:dyDescent="0.3">
      <c r="A37">
        <v>36</v>
      </c>
      <c r="B37" t="s">
        <v>285</v>
      </c>
      <c r="C37">
        <v>13076470</v>
      </c>
      <c r="D37" t="s">
        <v>286</v>
      </c>
      <c r="E37" t="s">
        <v>287</v>
      </c>
      <c r="F37" t="s">
        <v>288</v>
      </c>
      <c r="G37" t="s">
        <v>289</v>
      </c>
      <c r="H37" s="1">
        <v>45805</v>
      </c>
      <c r="I37" t="s">
        <v>101</v>
      </c>
      <c r="J37" t="s">
        <v>102</v>
      </c>
      <c r="K37" t="s">
        <v>190</v>
      </c>
      <c r="L37">
        <v>1790000088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2</v>
      </c>
      <c r="U37">
        <v>2</v>
      </c>
      <c r="V37">
        <v>2</v>
      </c>
      <c r="W37">
        <v>2</v>
      </c>
      <c r="X37">
        <v>2</v>
      </c>
      <c r="Y37">
        <v>1</v>
      </c>
      <c r="Z37">
        <v>1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R37">
        <v>2</v>
      </c>
      <c r="AS37">
        <v>12</v>
      </c>
      <c r="AT37">
        <v>16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30</v>
      </c>
      <c r="BE37">
        <v>375000</v>
      </c>
      <c r="BF37" t="s">
        <v>290</v>
      </c>
      <c r="BM37">
        <v>0</v>
      </c>
      <c r="CP37">
        <v>0</v>
      </c>
      <c r="CQ37">
        <v>0</v>
      </c>
      <c r="CR37">
        <v>0</v>
      </c>
    </row>
    <row r="38" spans="1:96" hidden="1" x14ac:dyDescent="0.3">
      <c r="A38">
        <v>37</v>
      </c>
      <c r="B38" t="s">
        <v>291</v>
      </c>
      <c r="C38">
        <v>13172993</v>
      </c>
      <c r="D38" t="s">
        <v>292</v>
      </c>
      <c r="E38" t="s">
        <v>230</v>
      </c>
      <c r="F38" t="s">
        <v>293</v>
      </c>
      <c r="G38" t="s">
        <v>294</v>
      </c>
      <c r="H38" s="1">
        <v>45839</v>
      </c>
      <c r="I38" t="s">
        <v>101</v>
      </c>
      <c r="J38" t="s">
        <v>253</v>
      </c>
      <c r="K38" t="s">
        <v>109</v>
      </c>
      <c r="L38">
        <v>1790000088</v>
      </c>
      <c r="M38">
        <v>1</v>
      </c>
      <c r="N38">
        <v>3</v>
      </c>
      <c r="O38">
        <v>3</v>
      </c>
      <c r="P38">
        <v>3</v>
      </c>
      <c r="AR38">
        <v>1</v>
      </c>
      <c r="AS38">
        <v>0</v>
      </c>
      <c r="AT38">
        <v>3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4</v>
      </c>
      <c r="BM38">
        <v>0</v>
      </c>
      <c r="CP38">
        <v>0</v>
      </c>
      <c r="CQ38">
        <v>0</v>
      </c>
      <c r="CR38">
        <v>0</v>
      </c>
    </row>
    <row r="39" spans="1:96" hidden="1" x14ac:dyDescent="0.3">
      <c r="A39">
        <v>38</v>
      </c>
      <c r="B39" t="s">
        <v>295</v>
      </c>
      <c r="C39">
        <v>13174740</v>
      </c>
      <c r="D39" t="s">
        <v>296</v>
      </c>
      <c r="E39" t="s">
        <v>297</v>
      </c>
      <c r="F39" t="s">
        <v>298</v>
      </c>
      <c r="G39" t="s">
        <v>233</v>
      </c>
      <c r="H39" s="1">
        <v>45846</v>
      </c>
      <c r="I39" t="s">
        <v>140</v>
      </c>
      <c r="J39" t="s">
        <v>102</v>
      </c>
      <c r="K39" t="s">
        <v>190</v>
      </c>
      <c r="L39">
        <v>1790000088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R39">
        <v>0</v>
      </c>
      <c r="AS39">
        <v>14</v>
      </c>
      <c r="AT39">
        <v>16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  <c r="BM39">
        <v>0</v>
      </c>
      <c r="CP39">
        <v>0</v>
      </c>
      <c r="CQ39">
        <v>0</v>
      </c>
      <c r="CR39">
        <v>0</v>
      </c>
    </row>
    <row r="40" spans="1:96" x14ac:dyDescent="0.3">
      <c r="A40">
        <v>39</v>
      </c>
      <c r="B40" t="s">
        <v>299</v>
      </c>
      <c r="C40">
        <v>13179077</v>
      </c>
      <c r="D40" t="s">
        <v>162</v>
      </c>
      <c r="E40" t="s">
        <v>300</v>
      </c>
      <c r="F40" t="s">
        <v>301</v>
      </c>
      <c r="G40" t="s">
        <v>302</v>
      </c>
      <c r="H40" s="1">
        <v>45957</v>
      </c>
      <c r="I40" t="s">
        <v>101</v>
      </c>
      <c r="J40" t="s">
        <v>102</v>
      </c>
      <c r="K40" t="s">
        <v>109</v>
      </c>
      <c r="L40">
        <v>1790000090</v>
      </c>
      <c r="M40">
        <v>2</v>
      </c>
      <c r="N40">
        <v>2</v>
      </c>
      <c r="O40">
        <v>3</v>
      </c>
      <c r="P40">
        <v>3</v>
      </c>
      <c r="Q40">
        <v>3</v>
      </c>
      <c r="R40">
        <v>2</v>
      </c>
      <c r="S40">
        <v>2</v>
      </c>
      <c r="T40">
        <v>2</v>
      </c>
      <c r="U40">
        <v>2</v>
      </c>
      <c r="V40">
        <v>3</v>
      </c>
      <c r="W40">
        <v>3</v>
      </c>
      <c r="X40">
        <v>3</v>
      </c>
      <c r="Y40">
        <v>2</v>
      </c>
      <c r="Z40">
        <v>2</v>
      </c>
      <c r="AA40">
        <v>2</v>
      </c>
      <c r="AB40">
        <v>2</v>
      </c>
      <c r="AC40">
        <v>3</v>
      </c>
      <c r="AD40">
        <v>3</v>
      </c>
      <c r="AE40">
        <v>3</v>
      </c>
      <c r="AF40">
        <v>2</v>
      </c>
      <c r="AG40">
        <v>2</v>
      </c>
      <c r="AH40">
        <v>2</v>
      </c>
      <c r="AI40">
        <v>2</v>
      </c>
      <c r="AJ40">
        <v>3</v>
      </c>
      <c r="AK40">
        <v>3</v>
      </c>
      <c r="AL40">
        <v>3</v>
      </c>
      <c r="AM40">
        <v>2</v>
      </c>
      <c r="AN40">
        <v>2</v>
      </c>
      <c r="AO40">
        <v>2</v>
      </c>
      <c r="AP40">
        <v>2</v>
      </c>
      <c r="AR40">
        <v>0</v>
      </c>
      <c r="AS40">
        <v>18</v>
      </c>
      <c r="AT40">
        <v>12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30</v>
      </c>
      <c r="BC40">
        <v>333600</v>
      </c>
      <c r="BD40" t="s">
        <v>303</v>
      </c>
      <c r="BY40">
        <v>120050</v>
      </c>
      <c r="CI40">
        <v>473333</v>
      </c>
      <c r="CK40">
        <v>1000800</v>
      </c>
      <c r="CL40">
        <v>100000</v>
      </c>
      <c r="CP40">
        <v>0</v>
      </c>
      <c r="CQ40">
        <v>0</v>
      </c>
      <c r="CR40">
        <v>0</v>
      </c>
    </row>
    <row r="41" spans="1:96" hidden="1" x14ac:dyDescent="0.3">
      <c r="A41">
        <v>40</v>
      </c>
      <c r="B41" t="s">
        <v>304</v>
      </c>
      <c r="C41">
        <v>13205525</v>
      </c>
      <c r="D41" t="s">
        <v>305</v>
      </c>
      <c r="E41" t="s">
        <v>306</v>
      </c>
      <c r="F41" t="s">
        <v>307</v>
      </c>
      <c r="G41" t="s">
        <v>308</v>
      </c>
      <c r="H41" s="1">
        <v>44136</v>
      </c>
      <c r="I41" t="s">
        <v>140</v>
      </c>
      <c r="J41" t="s">
        <v>102</v>
      </c>
      <c r="K41" t="s">
        <v>103</v>
      </c>
      <c r="L41">
        <v>1790000088</v>
      </c>
      <c r="M41">
        <v>5</v>
      </c>
      <c r="N41">
        <v>5</v>
      </c>
      <c r="O41">
        <v>5</v>
      </c>
      <c r="P41">
        <v>5</v>
      </c>
      <c r="Q41">
        <v>5</v>
      </c>
      <c r="R41">
        <v>9</v>
      </c>
      <c r="S41">
        <v>9</v>
      </c>
      <c r="T41">
        <v>9</v>
      </c>
      <c r="U41">
        <v>9</v>
      </c>
      <c r="V41">
        <v>9</v>
      </c>
      <c r="W41">
        <v>9</v>
      </c>
      <c r="X41">
        <v>9</v>
      </c>
      <c r="Y41">
        <v>9</v>
      </c>
      <c r="Z41">
        <v>9</v>
      </c>
      <c r="AA41">
        <v>9</v>
      </c>
      <c r="AB41">
        <v>9</v>
      </c>
      <c r="AC41">
        <v>9</v>
      </c>
      <c r="AD41">
        <v>9</v>
      </c>
      <c r="AE41">
        <v>9</v>
      </c>
      <c r="AF41">
        <v>9</v>
      </c>
      <c r="AG41">
        <v>9</v>
      </c>
      <c r="AH41">
        <v>9</v>
      </c>
      <c r="AI41">
        <v>9</v>
      </c>
      <c r="AJ41">
        <v>9</v>
      </c>
      <c r="AK41">
        <v>9</v>
      </c>
      <c r="AL41">
        <v>9</v>
      </c>
      <c r="AM41">
        <v>9</v>
      </c>
      <c r="AN41">
        <v>9</v>
      </c>
      <c r="AO41">
        <v>9</v>
      </c>
      <c r="AP41">
        <v>9</v>
      </c>
      <c r="AR41">
        <v>0</v>
      </c>
      <c r="AS41">
        <v>0</v>
      </c>
      <c r="AT41">
        <v>0</v>
      </c>
      <c r="AU41">
        <v>0</v>
      </c>
      <c r="AV41">
        <v>5</v>
      </c>
      <c r="AW41">
        <v>0</v>
      </c>
      <c r="AX41">
        <v>0</v>
      </c>
      <c r="AY41">
        <v>0</v>
      </c>
      <c r="AZ41">
        <v>25</v>
      </c>
      <c r="BA41">
        <v>30</v>
      </c>
      <c r="CO41">
        <f>VLOOKUP(C41,'LOS HEROES'!$A$2:$D$30,4,0)</f>
        <v>343828</v>
      </c>
      <c r="CP41">
        <v>0</v>
      </c>
      <c r="CQ41">
        <v>0</v>
      </c>
      <c r="CR41">
        <v>0</v>
      </c>
    </row>
    <row r="42" spans="1:96" hidden="1" x14ac:dyDescent="0.3">
      <c r="A42">
        <v>41</v>
      </c>
      <c r="B42" t="s">
        <v>309</v>
      </c>
      <c r="C42">
        <v>13218666</v>
      </c>
      <c r="D42" t="s">
        <v>310</v>
      </c>
      <c r="E42" t="s">
        <v>259</v>
      </c>
      <c r="F42" t="s">
        <v>311</v>
      </c>
      <c r="G42" t="s">
        <v>312</v>
      </c>
      <c r="H42" s="1">
        <v>46092</v>
      </c>
      <c r="I42" t="s">
        <v>140</v>
      </c>
      <c r="J42" t="s">
        <v>102</v>
      </c>
      <c r="K42" t="s">
        <v>243</v>
      </c>
      <c r="L42">
        <v>1790000090</v>
      </c>
      <c r="M42">
        <v>2</v>
      </c>
      <c r="N42">
        <v>2</v>
      </c>
      <c r="O42">
        <v>8</v>
      </c>
      <c r="P42">
        <v>8</v>
      </c>
      <c r="Q42">
        <v>2</v>
      </c>
      <c r="R42">
        <v>2</v>
      </c>
      <c r="S42">
        <v>2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3</v>
      </c>
      <c r="AR42">
        <v>0</v>
      </c>
      <c r="AS42">
        <v>5</v>
      </c>
      <c r="AT42">
        <v>14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0</v>
      </c>
      <c r="BA42">
        <v>21</v>
      </c>
      <c r="BM42">
        <v>2</v>
      </c>
      <c r="BN42">
        <v>282400</v>
      </c>
      <c r="BP42">
        <v>52500</v>
      </c>
      <c r="CI42">
        <v>0</v>
      </c>
      <c r="CP42">
        <v>0</v>
      </c>
      <c r="CQ42">
        <v>0</v>
      </c>
      <c r="CR42">
        <v>0</v>
      </c>
    </row>
    <row r="43" spans="1:96" hidden="1" x14ac:dyDescent="0.3">
      <c r="A43">
        <v>42</v>
      </c>
      <c r="B43" t="s">
        <v>313</v>
      </c>
      <c r="C43">
        <v>13327527</v>
      </c>
      <c r="D43" t="s">
        <v>314</v>
      </c>
      <c r="E43" t="s">
        <v>315</v>
      </c>
      <c r="F43" t="s">
        <v>316</v>
      </c>
      <c r="G43" t="s">
        <v>271</v>
      </c>
      <c r="H43" s="1">
        <v>46054</v>
      </c>
      <c r="I43" t="s">
        <v>101</v>
      </c>
      <c r="J43" t="s">
        <v>102</v>
      </c>
      <c r="K43" t="s">
        <v>141</v>
      </c>
      <c r="L43">
        <v>1790000091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2</v>
      </c>
      <c r="AO43">
        <v>3</v>
      </c>
      <c r="AP43">
        <v>3</v>
      </c>
      <c r="AR43">
        <v>0</v>
      </c>
      <c r="AS43">
        <v>14</v>
      </c>
      <c r="AT43">
        <v>16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  <c r="BE43">
        <v>646000</v>
      </c>
      <c r="BF43" t="s">
        <v>317</v>
      </c>
      <c r="CP43">
        <f>VLOOKUP(C43,'LA ARAUCANA'!$A$2:$D$5,4,0)</f>
        <v>154868</v>
      </c>
      <c r="CQ43">
        <v>0</v>
      </c>
      <c r="CR43">
        <v>0</v>
      </c>
    </row>
    <row r="44" spans="1:96" hidden="1" x14ac:dyDescent="0.3">
      <c r="A44">
        <v>43</v>
      </c>
      <c r="B44" t="s">
        <v>318</v>
      </c>
      <c r="C44">
        <v>13330676</v>
      </c>
      <c r="D44" t="s">
        <v>319</v>
      </c>
      <c r="E44" t="s">
        <v>320</v>
      </c>
      <c r="F44" t="s">
        <v>321</v>
      </c>
      <c r="G44" t="s">
        <v>189</v>
      </c>
      <c r="H44" s="1">
        <v>46054</v>
      </c>
      <c r="I44" t="s">
        <v>140</v>
      </c>
      <c r="J44" t="s">
        <v>102</v>
      </c>
      <c r="K44" t="s">
        <v>243</v>
      </c>
      <c r="L44">
        <v>1790000090</v>
      </c>
      <c r="M44">
        <v>2</v>
      </c>
      <c r="N44">
        <v>2</v>
      </c>
      <c r="O44">
        <v>8</v>
      </c>
      <c r="P44">
        <v>8</v>
      </c>
      <c r="Q44">
        <v>2</v>
      </c>
      <c r="R44">
        <v>2</v>
      </c>
      <c r="S44">
        <v>2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R44">
        <v>0</v>
      </c>
      <c r="AS44">
        <v>5</v>
      </c>
      <c r="AT44">
        <v>14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21</v>
      </c>
      <c r="BM44">
        <v>2</v>
      </c>
      <c r="BN44">
        <v>320000</v>
      </c>
      <c r="BP44">
        <v>52500</v>
      </c>
      <c r="CI44">
        <v>315555</v>
      </c>
      <c r="CP44">
        <v>0</v>
      </c>
      <c r="CQ44">
        <v>0</v>
      </c>
      <c r="CR44">
        <v>0</v>
      </c>
    </row>
    <row r="45" spans="1:96" hidden="1" x14ac:dyDescent="0.3">
      <c r="A45">
        <v>44</v>
      </c>
      <c r="B45" t="s">
        <v>322</v>
      </c>
      <c r="C45">
        <v>13419327</v>
      </c>
      <c r="D45" t="s">
        <v>215</v>
      </c>
      <c r="E45" t="s">
        <v>323</v>
      </c>
      <c r="F45" t="s">
        <v>324</v>
      </c>
      <c r="G45" t="s">
        <v>271</v>
      </c>
      <c r="H45" s="1">
        <v>45962</v>
      </c>
      <c r="I45" t="s">
        <v>101</v>
      </c>
      <c r="J45" t="s">
        <v>102</v>
      </c>
      <c r="K45" t="s">
        <v>208</v>
      </c>
      <c r="L45">
        <v>1790000090</v>
      </c>
      <c r="M45">
        <v>2</v>
      </c>
      <c r="N45">
        <v>2</v>
      </c>
      <c r="O45">
        <v>8</v>
      </c>
      <c r="P45">
        <v>8</v>
      </c>
      <c r="Q45">
        <v>2</v>
      </c>
      <c r="R45">
        <v>2</v>
      </c>
      <c r="S45">
        <v>2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R45">
        <v>0</v>
      </c>
      <c r="AS45">
        <v>14</v>
      </c>
      <c r="AT45">
        <v>14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0</v>
      </c>
      <c r="BA45">
        <v>30</v>
      </c>
      <c r="BE45">
        <v>792000</v>
      </c>
      <c r="BF45" t="s">
        <v>273</v>
      </c>
      <c r="BM45">
        <v>2</v>
      </c>
      <c r="BN45">
        <v>512000</v>
      </c>
      <c r="CI45">
        <v>473333</v>
      </c>
      <c r="CM45" s="2">
        <v>597267</v>
      </c>
      <c r="CP45">
        <v>0</v>
      </c>
      <c r="CQ45">
        <f>VLOOKUP(C45,SEGURO!$A$2:$C$28,3,0)</f>
        <v>46667</v>
      </c>
      <c r="CR45">
        <v>0</v>
      </c>
    </row>
    <row r="46" spans="1:96" hidden="1" x14ac:dyDescent="0.3">
      <c r="A46">
        <v>45</v>
      </c>
      <c r="B46" t="s">
        <v>325</v>
      </c>
      <c r="C46">
        <v>13531208</v>
      </c>
      <c r="D46" t="s">
        <v>326</v>
      </c>
      <c r="E46" t="s">
        <v>327</v>
      </c>
      <c r="F46" t="s">
        <v>324</v>
      </c>
      <c r="G46" t="s">
        <v>328</v>
      </c>
      <c r="H46" s="1">
        <v>45689</v>
      </c>
      <c r="I46" t="s">
        <v>101</v>
      </c>
      <c r="J46" t="s">
        <v>102</v>
      </c>
      <c r="K46" t="s">
        <v>109</v>
      </c>
      <c r="L46">
        <v>1790000088</v>
      </c>
      <c r="M46">
        <v>1</v>
      </c>
      <c r="N46">
        <v>1</v>
      </c>
      <c r="O46">
        <v>3</v>
      </c>
      <c r="P46">
        <v>3</v>
      </c>
      <c r="Q46">
        <v>3</v>
      </c>
      <c r="R46">
        <v>1</v>
      </c>
      <c r="S46">
        <v>1</v>
      </c>
      <c r="T46">
        <v>1</v>
      </c>
      <c r="U46">
        <v>1</v>
      </c>
      <c r="V46">
        <v>3</v>
      </c>
      <c r="W46">
        <v>3</v>
      </c>
      <c r="X46">
        <v>3</v>
      </c>
      <c r="Y46">
        <v>1</v>
      </c>
      <c r="Z46">
        <v>1</v>
      </c>
      <c r="AA46">
        <v>1</v>
      </c>
      <c r="AB46">
        <v>1</v>
      </c>
      <c r="AC46">
        <v>3</v>
      </c>
      <c r="AD46">
        <v>3</v>
      </c>
      <c r="AE46">
        <v>3</v>
      </c>
      <c r="AF46">
        <v>1</v>
      </c>
      <c r="AG46">
        <v>1</v>
      </c>
      <c r="AH46">
        <v>1</v>
      </c>
      <c r="AI46">
        <v>1</v>
      </c>
      <c r="AJ46">
        <v>3</v>
      </c>
      <c r="AK46">
        <v>3</v>
      </c>
      <c r="AL46">
        <v>3</v>
      </c>
      <c r="AM46">
        <v>1</v>
      </c>
      <c r="AN46">
        <v>1</v>
      </c>
      <c r="AO46">
        <v>1</v>
      </c>
      <c r="AP46">
        <v>1</v>
      </c>
      <c r="AR46">
        <v>18</v>
      </c>
      <c r="AS46">
        <v>0</v>
      </c>
      <c r="AT46">
        <v>12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E46">
        <v>1634000</v>
      </c>
      <c r="BF46" t="s">
        <v>329</v>
      </c>
      <c r="BM46">
        <v>0</v>
      </c>
      <c r="CE46">
        <v>77281</v>
      </c>
      <c r="CP46">
        <v>0</v>
      </c>
      <c r="CQ46">
        <f>VLOOKUP(C46,SEGURO!$A$2:$C$28,3,0)</f>
        <v>46667</v>
      </c>
      <c r="CR46">
        <f>VLOOKUP(C46,FALP!$A$2:$C$13,3,0)</f>
        <v>17600</v>
      </c>
    </row>
    <row r="47" spans="1:96" hidden="1" x14ac:dyDescent="0.3">
      <c r="A47">
        <v>46</v>
      </c>
      <c r="B47" t="s">
        <v>330</v>
      </c>
      <c r="C47">
        <v>13534540</v>
      </c>
      <c r="D47" t="s">
        <v>331</v>
      </c>
      <c r="E47" t="s">
        <v>332</v>
      </c>
      <c r="F47" t="s">
        <v>333</v>
      </c>
      <c r="G47" t="s">
        <v>160</v>
      </c>
      <c r="H47" s="1">
        <v>45992</v>
      </c>
      <c r="I47" t="s">
        <v>140</v>
      </c>
      <c r="J47" t="s">
        <v>102</v>
      </c>
      <c r="K47" t="s">
        <v>272</v>
      </c>
      <c r="L47">
        <v>1790000090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R47">
        <v>0</v>
      </c>
      <c r="AS47">
        <v>14</v>
      </c>
      <c r="AT47">
        <v>16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30</v>
      </c>
      <c r="BC47">
        <v>130833</v>
      </c>
      <c r="BD47" t="s">
        <v>148</v>
      </c>
      <c r="BP47">
        <v>75000</v>
      </c>
      <c r="CI47">
        <v>473333</v>
      </c>
      <c r="CJ47">
        <v>213354</v>
      </c>
      <c r="CP47">
        <v>0</v>
      </c>
      <c r="CQ47">
        <v>0</v>
      </c>
      <c r="CR47">
        <v>0</v>
      </c>
    </row>
    <row r="48" spans="1:96" hidden="1" x14ac:dyDescent="0.3">
      <c r="A48">
        <v>47</v>
      </c>
      <c r="B48" t="s">
        <v>334</v>
      </c>
      <c r="C48">
        <v>13632515</v>
      </c>
      <c r="D48" t="s">
        <v>335</v>
      </c>
      <c r="E48" t="s">
        <v>336</v>
      </c>
      <c r="F48" t="s">
        <v>337</v>
      </c>
      <c r="G48" t="s">
        <v>289</v>
      </c>
      <c r="H48" s="1">
        <v>45962</v>
      </c>
      <c r="I48" t="s">
        <v>140</v>
      </c>
      <c r="J48" t="s">
        <v>102</v>
      </c>
      <c r="K48" t="s">
        <v>208</v>
      </c>
      <c r="L48">
        <v>1790000090</v>
      </c>
      <c r="M48">
        <v>2</v>
      </c>
      <c r="N48">
        <v>2</v>
      </c>
      <c r="O48">
        <v>8</v>
      </c>
      <c r="P48">
        <v>8</v>
      </c>
      <c r="Q48">
        <v>2</v>
      </c>
      <c r="R48">
        <v>2</v>
      </c>
      <c r="S48">
        <v>2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R48">
        <v>0</v>
      </c>
      <c r="AS48">
        <v>14</v>
      </c>
      <c r="AT48">
        <v>14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0</v>
      </c>
      <c r="BA48">
        <v>30</v>
      </c>
      <c r="BE48">
        <v>1877000</v>
      </c>
      <c r="BF48" t="s">
        <v>273</v>
      </c>
      <c r="BM48">
        <v>2</v>
      </c>
      <c r="BN48">
        <v>718000</v>
      </c>
      <c r="CE48">
        <v>77281</v>
      </c>
      <c r="CI48">
        <v>473333</v>
      </c>
      <c r="CK48">
        <v>3230999</v>
      </c>
      <c r="CL48">
        <v>100000</v>
      </c>
      <c r="CP48">
        <v>0</v>
      </c>
      <c r="CQ48">
        <v>0</v>
      </c>
      <c r="CR48">
        <v>0</v>
      </c>
    </row>
    <row r="49" spans="1:96" x14ac:dyDescent="0.3">
      <c r="A49">
        <v>48</v>
      </c>
      <c r="B49" t="s">
        <v>338</v>
      </c>
      <c r="C49">
        <v>13640892</v>
      </c>
      <c r="D49" t="s">
        <v>216</v>
      </c>
      <c r="E49" t="s">
        <v>339</v>
      </c>
      <c r="F49" t="s">
        <v>340</v>
      </c>
      <c r="G49" t="s">
        <v>341</v>
      </c>
      <c r="H49" s="1">
        <v>45962</v>
      </c>
      <c r="I49" t="s">
        <v>101</v>
      </c>
      <c r="J49" t="s">
        <v>102</v>
      </c>
      <c r="K49" t="s">
        <v>109</v>
      </c>
      <c r="L49">
        <v>1790000090</v>
      </c>
      <c r="M49">
        <v>2</v>
      </c>
      <c r="N49">
        <v>2</v>
      </c>
      <c r="O49">
        <v>3</v>
      </c>
      <c r="P49">
        <v>3</v>
      </c>
      <c r="Q49">
        <v>3</v>
      </c>
      <c r="R49">
        <v>2</v>
      </c>
      <c r="S49">
        <v>2</v>
      </c>
      <c r="T49">
        <v>2</v>
      </c>
      <c r="U49">
        <v>2</v>
      </c>
      <c r="V49">
        <v>3</v>
      </c>
      <c r="W49">
        <v>3</v>
      </c>
      <c r="X49">
        <v>3</v>
      </c>
      <c r="Y49">
        <v>2</v>
      </c>
      <c r="Z49">
        <v>2</v>
      </c>
      <c r="AA49">
        <v>2</v>
      </c>
      <c r="AB49">
        <v>2</v>
      </c>
      <c r="AC49">
        <v>3</v>
      </c>
      <c r="AD49">
        <v>3</v>
      </c>
      <c r="AE49">
        <v>3</v>
      </c>
      <c r="AF49">
        <v>2</v>
      </c>
      <c r="AG49">
        <v>2</v>
      </c>
      <c r="AH49">
        <v>2</v>
      </c>
      <c r="AI49">
        <v>2</v>
      </c>
      <c r="AJ49">
        <v>3</v>
      </c>
      <c r="AK49">
        <v>3</v>
      </c>
      <c r="AL49">
        <v>3</v>
      </c>
      <c r="AM49">
        <v>2</v>
      </c>
      <c r="AN49">
        <v>2</v>
      </c>
      <c r="AO49">
        <v>2</v>
      </c>
      <c r="AP49">
        <v>2</v>
      </c>
      <c r="AR49">
        <v>0</v>
      </c>
      <c r="AS49">
        <v>18</v>
      </c>
      <c r="AT49">
        <v>12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30</v>
      </c>
      <c r="BC49">
        <v>269600</v>
      </c>
      <c r="BD49" t="s">
        <v>342</v>
      </c>
      <c r="BY49">
        <v>157655</v>
      </c>
      <c r="CI49">
        <v>473333</v>
      </c>
      <c r="CP49">
        <v>0</v>
      </c>
      <c r="CQ49">
        <v>0</v>
      </c>
      <c r="CR49">
        <v>0</v>
      </c>
    </row>
    <row r="50" spans="1:96" x14ac:dyDescent="0.3">
      <c r="A50">
        <v>49</v>
      </c>
      <c r="B50" t="s">
        <v>343</v>
      </c>
      <c r="C50">
        <v>13702938</v>
      </c>
      <c r="D50" t="s">
        <v>319</v>
      </c>
      <c r="E50" t="s">
        <v>162</v>
      </c>
      <c r="F50" t="s">
        <v>344</v>
      </c>
      <c r="G50" t="s">
        <v>271</v>
      </c>
      <c r="H50" s="1">
        <v>45702</v>
      </c>
      <c r="I50" t="s">
        <v>101</v>
      </c>
      <c r="J50" t="s">
        <v>102</v>
      </c>
      <c r="K50" t="s">
        <v>127</v>
      </c>
      <c r="L50">
        <v>1790000088</v>
      </c>
      <c r="M50">
        <v>2</v>
      </c>
      <c r="N50">
        <v>2</v>
      </c>
      <c r="O50">
        <v>8</v>
      </c>
      <c r="P50">
        <v>8</v>
      </c>
      <c r="Q50">
        <v>2</v>
      </c>
      <c r="R50">
        <v>2</v>
      </c>
      <c r="S50">
        <v>2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2</v>
      </c>
      <c r="AP50">
        <v>2</v>
      </c>
      <c r="AR50">
        <v>0</v>
      </c>
      <c r="AS50">
        <v>14</v>
      </c>
      <c r="AT50">
        <v>14</v>
      </c>
      <c r="AU50">
        <v>0</v>
      </c>
      <c r="AV50">
        <v>0</v>
      </c>
      <c r="AW50">
        <v>0</v>
      </c>
      <c r="AX50">
        <v>0</v>
      </c>
      <c r="AY50">
        <v>2</v>
      </c>
      <c r="AZ50">
        <v>0</v>
      </c>
      <c r="BA50">
        <v>30</v>
      </c>
      <c r="BM50">
        <v>2</v>
      </c>
      <c r="BN50">
        <v>488018</v>
      </c>
      <c r="BY50">
        <v>12000</v>
      </c>
      <c r="CP50">
        <v>0</v>
      </c>
      <c r="CQ50">
        <f>VLOOKUP(C50,SEGURO!$A$2:$C$28,3,0)</f>
        <v>46667</v>
      </c>
      <c r="CR50">
        <v>0</v>
      </c>
    </row>
    <row r="51" spans="1:96" hidden="1" x14ac:dyDescent="0.3">
      <c r="A51">
        <v>50</v>
      </c>
      <c r="B51" t="s">
        <v>345</v>
      </c>
      <c r="C51">
        <v>13904453</v>
      </c>
      <c r="D51" t="s">
        <v>331</v>
      </c>
      <c r="E51" t="s">
        <v>225</v>
      </c>
      <c r="F51" t="s">
        <v>346</v>
      </c>
      <c r="G51" t="s">
        <v>347</v>
      </c>
      <c r="H51" s="1"/>
      <c r="I51" t="s">
        <v>101</v>
      </c>
      <c r="J51" t="s">
        <v>102</v>
      </c>
      <c r="K51" t="s">
        <v>103</v>
      </c>
      <c r="L51">
        <v>1740000001</v>
      </c>
      <c r="M51">
        <v>1</v>
      </c>
      <c r="N51">
        <v>1</v>
      </c>
      <c r="O51">
        <v>3</v>
      </c>
      <c r="P51">
        <v>3</v>
      </c>
      <c r="Q51">
        <v>3</v>
      </c>
      <c r="R51">
        <v>1</v>
      </c>
      <c r="S51">
        <v>1</v>
      </c>
      <c r="T51">
        <v>1</v>
      </c>
      <c r="U51">
        <v>1</v>
      </c>
      <c r="V51">
        <v>1</v>
      </c>
      <c r="W51">
        <v>3</v>
      </c>
      <c r="X51">
        <v>3</v>
      </c>
      <c r="Y51">
        <v>1</v>
      </c>
      <c r="Z51">
        <v>1</v>
      </c>
      <c r="AA51">
        <v>1</v>
      </c>
      <c r="AB51">
        <v>1</v>
      </c>
      <c r="AC51">
        <v>1</v>
      </c>
      <c r="AD51">
        <v>3</v>
      </c>
      <c r="AE51">
        <v>3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3</v>
      </c>
      <c r="AL51">
        <v>3</v>
      </c>
      <c r="AM51">
        <v>1</v>
      </c>
      <c r="AN51">
        <v>1</v>
      </c>
      <c r="AO51">
        <v>1</v>
      </c>
      <c r="AP51">
        <v>1</v>
      </c>
      <c r="AR51">
        <v>21</v>
      </c>
      <c r="AS51">
        <v>0</v>
      </c>
      <c r="AT51">
        <v>9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30</v>
      </c>
      <c r="CP51">
        <v>0</v>
      </c>
      <c r="CQ51">
        <f>VLOOKUP(C51,SEGURO!$A$2:$C$28,3,0)</f>
        <v>46667</v>
      </c>
      <c r="CR51">
        <f>VLOOKUP(C51,FALP!$A$2:$C$13,3,0)</f>
        <v>8800</v>
      </c>
    </row>
    <row r="52" spans="1:96" hidden="1" x14ac:dyDescent="0.3">
      <c r="A52">
        <v>51</v>
      </c>
      <c r="B52" t="s">
        <v>348</v>
      </c>
      <c r="C52">
        <v>13975512</v>
      </c>
      <c r="D52" t="s">
        <v>349</v>
      </c>
      <c r="E52" t="s">
        <v>339</v>
      </c>
      <c r="F52" t="s">
        <v>184</v>
      </c>
      <c r="G52" t="s">
        <v>146</v>
      </c>
      <c r="H52" s="1">
        <v>46041</v>
      </c>
      <c r="I52" t="s">
        <v>140</v>
      </c>
      <c r="J52" t="s">
        <v>102</v>
      </c>
      <c r="K52" t="s">
        <v>147</v>
      </c>
      <c r="L52">
        <v>1790000090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3</v>
      </c>
      <c r="AR52">
        <v>0</v>
      </c>
      <c r="AS52">
        <v>14</v>
      </c>
      <c r="AT52">
        <v>16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30</v>
      </c>
      <c r="BC52">
        <v>235333</v>
      </c>
      <c r="BD52" t="s">
        <v>148</v>
      </c>
      <c r="BP52">
        <v>75000</v>
      </c>
      <c r="CI52">
        <v>473333</v>
      </c>
      <c r="CP52">
        <v>0</v>
      </c>
      <c r="CQ52">
        <v>0</v>
      </c>
      <c r="CR52">
        <v>0</v>
      </c>
    </row>
    <row r="53" spans="1:96" hidden="1" x14ac:dyDescent="0.3">
      <c r="A53">
        <v>52</v>
      </c>
      <c r="B53" t="s">
        <v>350</v>
      </c>
      <c r="C53">
        <v>13976044</v>
      </c>
      <c r="D53" t="s">
        <v>351</v>
      </c>
      <c r="E53" t="s">
        <v>157</v>
      </c>
      <c r="F53" t="s">
        <v>352</v>
      </c>
      <c r="G53" t="s">
        <v>353</v>
      </c>
      <c r="H53" s="1">
        <v>45997</v>
      </c>
      <c r="I53" t="s">
        <v>140</v>
      </c>
      <c r="J53" t="s">
        <v>102</v>
      </c>
      <c r="K53" t="s">
        <v>272</v>
      </c>
      <c r="L53">
        <v>1790000090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3</v>
      </c>
      <c r="AP53">
        <v>3</v>
      </c>
      <c r="AR53">
        <v>0</v>
      </c>
      <c r="AS53">
        <v>14</v>
      </c>
      <c r="AT53">
        <v>16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30</v>
      </c>
      <c r="BC53">
        <v>235333</v>
      </c>
      <c r="BD53" t="s">
        <v>148</v>
      </c>
      <c r="BP53">
        <v>75000</v>
      </c>
      <c r="CI53">
        <v>473333</v>
      </c>
      <c r="CP53">
        <v>0</v>
      </c>
      <c r="CQ53">
        <v>0</v>
      </c>
      <c r="CR53">
        <v>0</v>
      </c>
    </row>
    <row r="54" spans="1:96" x14ac:dyDescent="0.3">
      <c r="A54">
        <v>53</v>
      </c>
      <c r="B54" t="s">
        <v>354</v>
      </c>
      <c r="C54">
        <v>13976656</v>
      </c>
      <c r="D54" t="s">
        <v>143</v>
      </c>
      <c r="E54" t="s">
        <v>230</v>
      </c>
      <c r="F54" t="s">
        <v>355</v>
      </c>
      <c r="G54" t="s">
        <v>356</v>
      </c>
      <c r="H54" s="1">
        <v>46099</v>
      </c>
      <c r="I54" t="s">
        <v>140</v>
      </c>
      <c r="J54" t="s">
        <v>102</v>
      </c>
      <c r="K54" t="s">
        <v>141</v>
      </c>
      <c r="L54">
        <v>1790000091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2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3</v>
      </c>
      <c r="AP54">
        <v>3</v>
      </c>
      <c r="AR54">
        <v>0</v>
      </c>
      <c r="AS54">
        <v>14</v>
      </c>
      <c r="AT54">
        <v>16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30</v>
      </c>
      <c r="BY54">
        <v>50000</v>
      </c>
      <c r="CP54">
        <v>0</v>
      </c>
      <c r="CQ54">
        <v>0</v>
      </c>
      <c r="CR54">
        <v>0</v>
      </c>
    </row>
    <row r="55" spans="1:96" hidden="1" x14ac:dyDescent="0.3">
      <c r="A55">
        <v>54</v>
      </c>
      <c r="B55" t="s">
        <v>357</v>
      </c>
      <c r="C55">
        <v>14016056</v>
      </c>
      <c r="D55" t="s">
        <v>358</v>
      </c>
      <c r="E55" t="s">
        <v>359</v>
      </c>
      <c r="F55" t="s">
        <v>360</v>
      </c>
      <c r="G55" t="s">
        <v>361</v>
      </c>
      <c r="H55" s="1">
        <v>46104</v>
      </c>
      <c r="I55" t="s">
        <v>101</v>
      </c>
      <c r="J55" t="s">
        <v>102</v>
      </c>
      <c r="K55" t="s">
        <v>103</v>
      </c>
      <c r="L55">
        <v>1720000001</v>
      </c>
      <c r="M55">
        <v>1</v>
      </c>
      <c r="N55">
        <v>1</v>
      </c>
      <c r="O55">
        <v>3</v>
      </c>
      <c r="P55">
        <v>3</v>
      </c>
      <c r="Q55">
        <v>3</v>
      </c>
      <c r="R55">
        <v>1</v>
      </c>
      <c r="S55">
        <v>3</v>
      </c>
      <c r="T55">
        <v>3</v>
      </c>
      <c r="U55">
        <v>1</v>
      </c>
      <c r="V55">
        <v>1</v>
      </c>
      <c r="W55">
        <v>1</v>
      </c>
      <c r="X55">
        <v>1</v>
      </c>
      <c r="Y55">
        <v>1</v>
      </c>
      <c r="Z55">
        <v>3</v>
      </c>
      <c r="AA55">
        <v>3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3</v>
      </c>
      <c r="AH55">
        <v>3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R55">
        <v>21</v>
      </c>
      <c r="AS55">
        <v>0</v>
      </c>
      <c r="AT55">
        <v>9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30</v>
      </c>
      <c r="CP55">
        <v>0</v>
      </c>
      <c r="CQ55">
        <v>0</v>
      </c>
      <c r="CR55">
        <v>0</v>
      </c>
    </row>
    <row r="56" spans="1:96" hidden="1" x14ac:dyDescent="0.3">
      <c r="A56">
        <v>55</v>
      </c>
      <c r="B56" t="s">
        <v>362</v>
      </c>
      <c r="C56">
        <v>14113613</v>
      </c>
      <c r="D56" t="s">
        <v>363</v>
      </c>
      <c r="E56" t="s">
        <v>364</v>
      </c>
      <c r="F56" t="s">
        <v>365</v>
      </c>
      <c r="G56" t="s">
        <v>366</v>
      </c>
      <c r="H56" s="1"/>
      <c r="I56" t="s">
        <v>101</v>
      </c>
      <c r="J56" t="s">
        <v>102</v>
      </c>
      <c r="K56" t="s">
        <v>103</v>
      </c>
      <c r="L56">
        <v>1740000001</v>
      </c>
      <c r="M56">
        <v>1</v>
      </c>
      <c r="N56">
        <v>1</v>
      </c>
      <c r="O56">
        <v>3</v>
      </c>
      <c r="P56">
        <v>3</v>
      </c>
      <c r="Q56">
        <v>3</v>
      </c>
      <c r="R56">
        <v>1</v>
      </c>
      <c r="S56">
        <v>1</v>
      </c>
      <c r="T56">
        <v>1</v>
      </c>
      <c r="U56">
        <v>1</v>
      </c>
      <c r="V56">
        <v>1</v>
      </c>
      <c r="W56">
        <v>3</v>
      </c>
      <c r="X56">
        <v>3</v>
      </c>
      <c r="Y56">
        <v>1</v>
      </c>
      <c r="Z56">
        <v>1</v>
      </c>
      <c r="AA56">
        <v>1</v>
      </c>
      <c r="AB56">
        <v>1</v>
      </c>
      <c r="AC56">
        <v>1</v>
      </c>
      <c r="AD56">
        <v>3</v>
      </c>
      <c r="AE56">
        <v>3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3</v>
      </c>
      <c r="AL56">
        <v>3</v>
      </c>
      <c r="AM56">
        <v>1</v>
      </c>
      <c r="AN56">
        <v>1</v>
      </c>
      <c r="AO56">
        <v>1</v>
      </c>
      <c r="AP56">
        <v>1</v>
      </c>
      <c r="AR56">
        <v>21</v>
      </c>
      <c r="AS56">
        <v>0</v>
      </c>
      <c r="AT56">
        <v>9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30</v>
      </c>
      <c r="CP56">
        <v>0</v>
      </c>
      <c r="CQ56">
        <f>VLOOKUP(C56,SEGURO!$A$2:$C$28,3,0)</f>
        <v>46667</v>
      </c>
      <c r="CR56">
        <v>0</v>
      </c>
    </row>
    <row r="57" spans="1:96" hidden="1" x14ac:dyDescent="0.3">
      <c r="A57">
        <v>56</v>
      </c>
      <c r="B57" t="s">
        <v>367</v>
      </c>
      <c r="C57">
        <v>14129064</v>
      </c>
      <c r="D57" t="s">
        <v>132</v>
      </c>
      <c r="E57" t="s">
        <v>368</v>
      </c>
      <c r="F57" t="s">
        <v>369</v>
      </c>
      <c r="G57" t="s">
        <v>370</v>
      </c>
      <c r="H57" s="1"/>
      <c r="I57" t="s">
        <v>101</v>
      </c>
      <c r="J57" t="s">
        <v>102</v>
      </c>
      <c r="K57" t="s">
        <v>103</v>
      </c>
      <c r="L57">
        <v>1720000002</v>
      </c>
      <c r="M57">
        <v>1</v>
      </c>
      <c r="N57">
        <v>1</v>
      </c>
      <c r="O57">
        <v>3</v>
      </c>
      <c r="P57">
        <v>3</v>
      </c>
      <c r="Q57">
        <v>3</v>
      </c>
      <c r="R57">
        <v>1</v>
      </c>
      <c r="S57">
        <v>1</v>
      </c>
      <c r="T57">
        <v>1</v>
      </c>
      <c r="U57">
        <v>1</v>
      </c>
      <c r="V57">
        <v>1</v>
      </c>
      <c r="W57">
        <v>3</v>
      </c>
      <c r="X57">
        <v>3</v>
      </c>
      <c r="Y57">
        <v>1</v>
      </c>
      <c r="Z57">
        <v>1</v>
      </c>
      <c r="AA57">
        <v>1</v>
      </c>
      <c r="AB57">
        <v>1</v>
      </c>
      <c r="AC57">
        <v>1</v>
      </c>
      <c r="AD57">
        <v>3</v>
      </c>
      <c r="AE57">
        <v>3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3</v>
      </c>
      <c r="AL57">
        <v>3</v>
      </c>
      <c r="AM57">
        <v>1</v>
      </c>
      <c r="AN57">
        <v>1</v>
      </c>
      <c r="AO57">
        <v>1</v>
      </c>
      <c r="AP57">
        <v>1</v>
      </c>
      <c r="AR57">
        <v>21</v>
      </c>
      <c r="AS57">
        <v>0</v>
      </c>
      <c r="AT57">
        <v>9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30</v>
      </c>
      <c r="BP57">
        <v>240000</v>
      </c>
      <c r="CP57">
        <v>0</v>
      </c>
      <c r="CQ57">
        <f>VLOOKUP(C57,SEGURO!$A$2:$C$28,3,0)</f>
        <v>46667</v>
      </c>
      <c r="CR57">
        <f>VLOOKUP(C57,FALP!$A$2:$C$13,3,0)</f>
        <v>17600</v>
      </c>
    </row>
    <row r="58" spans="1:96" hidden="1" x14ac:dyDescent="0.3">
      <c r="A58">
        <v>57</v>
      </c>
      <c r="B58" t="s">
        <v>371</v>
      </c>
      <c r="C58">
        <v>14296775</v>
      </c>
      <c r="D58" t="s">
        <v>230</v>
      </c>
      <c r="E58" t="s">
        <v>372</v>
      </c>
      <c r="F58" t="s">
        <v>373</v>
      </c>
      <c r="G58" t="s">
        <v>289</v>
      </c>
      <c r="H58" s="1">
        <v>46054</v>
      </c>
      <c r="I58" t="s">
        <v>101</v>
      </c>
      <c r="J58" t="s">
        <v>102</v>
      </c>
      <c r="K58" t="s">
        <v>141</v>
      </c>
      <c r="L58">
        <v>1790000091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3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3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3</v>
      </c>
      <c r="AP58">
        <v>3</v>
      </c>
      <c r="AR58">
        <v>0</v>
      </c>
      <c r="AS58">
        <v>14</v>
      </c>
      <c r="AT58">
        <v>16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30</v>
      </c>
      <c r="BE58">
        <v>1644000</v>
      </c>
      <c r="BF58" t="s">
        <v>317</v>
      </c>
      <c r="CE58">
        <v>77281</v>
      </c>
      <c r="CM58" s="2">
        <v>248154</v>
      </c>
      <c r="CO58">
        <f>VLOOKUP(C58,'LOS HEROES'!$A$2:$D$30,4,0)</f>
        <v>388170</v>
      </c>
      <c r="CP58">
        <v>0</v>
      </c>
      <c r="CQ58">
        <v>0</v>
      </c>
      <c r="CR58">
        <v>0</v>
      </c>
    </row>
    <row r="59" spans="1:96" x14ac:dyDescent="0.3">
      <c r="A59">
        <v>58</v>
      </c>
      <c r="B59" t="s">
        <v>374</v>
      </c>
      <c r="C59">
        <v>14309302</v>
      </c>
      <c r="D59" t="s">
        <v>226</v>
      </c>
      <c r="E59" t="s">
        <v>375</v>
      </c>
      <c r="F59" t="s">
        <v>376</v>
      </c>
      <c r="G59" t="s">
        <v>126</v>
      </c>
      <c r="H59" s="1">
        <v>46031</v>
      </c>
      <c r="I59" t="s">
        <v>101</v>
      </c>
      <c r="J59" t="s">
        <v>102</v>
      </c>
      <c r="K59" t="s">
        <v>279</v>
      </c>
      <c r="L59">
        <v>1790000090</v>
      </c>
      <c r="M59">
        <v>2</v>
      </c>
      <c r="N59">
        <v>2</v>
      </c>
      <c r="O59">
        <v>3</v>
      </c>
      <c r="P59">
        <v>3</v>
      </c>
      <c r="Q59">
        <v>3</v>
      </c>
      <c r="R59">
        <v>2</v>
      </c>
      <c r="S59">
        <v>2</v>
      </c>
      <c r="T59">
        <v>2</v>
      </c>
      <c r="U59">
        <v>2</v>
      </c>
      <c r="V59">
        <v>3</v>
      </c>
      <c r="W59">
        <v>3</v>
      </c>
      <c r="X59">
        <v>3</v>
      </c>
      <c r="Y59">
        <v>3</v>
      </c>
      <c r="Z59">
        <v>3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3</v>
      </c>
      <c r="AP59">
        <v>3</v>
      </c>
      <c r="AR59">
        <v>0</v>
      </c>
      <c r="AS59">
        <v>20</v>
      </c>
      <c r="AT59">
        <v>10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30</v>
      </c>
      <c r="BC59">
        <v>674400</v>
      </c>
      <c r="BD59" t="s">
        <v>148</v>
      </c>
      <c r="BK59">
        <v>168600</v>
      </c>
      <c r="BL59" t="s">
        <v>377</v>
      </c>
      <c r="BP59">
        <v>75000</v>
      </c>
      <c r="BY59">
        <v>15500</v>
      </c>
      <c r="CI59">
        <v>473333</v>
      </c>
      <c r="CP59">
        <v>0</v>
      </c>
      <c r="CQ59">
        <f>VLOOKUP(C59,SEGURO!$A$2:$C$28,3,0)</f>
        <v>46667</v>
      </c>
      <c r="CR59">
        <v>0</v>
      </c>
    </row>
    <row r="60" spans="1:96" hidden="1" x14ac:dyDescent="0.3">
      <c r="A60">
        <v>59</v>
      </c>
      <c r="B60" t="s">
        <v>378</v>
      </c>
      <c r="C60">
        <v>14456911</v>
      </c>
      <c r="D60" t="s">
        <v>379</v>
      </c>
      <c r="E60" t="s">
        <v>380</v>
      </c>
      <c r="F60" t="s">
        <v>381</v>
      </c>
      <c r="G60" t="s">
        <v>126</v>
      </c>
      <c r="H60" s="1">
        <v>45992</v>
      </c>
      <c r="I60" t="s">
        <v>101</v>
      </c>
      <c r="J60" t="s">
        <v>102</v>
      </c>
      <c r="K60" t="s">
        <v>196</v>
      </c>
      <c r="L60">
        <v>1790000090</v>
      </c>
      <c r="M60">
        <v>2</v>
      </c>
      <c r="N60">
        <v>2</v>
      </c>
      <c r="O60">
        <v>3</v>
      </c>
      <c r="P60">
        <v>3</v>
      </c>
      <c r="Q60">
        <v>3</v>
      </c>
      <c r="R60">
        <v>2</v>
      </c>
      <c r="S60">
        <v>2</v>
      </c>
      <c r="T60">
        <v>2</v>
      </c>
      <c r="U60">
        <v>2</v>
      </c>
      <c r="V60">
        <v>3</v>
      </c>
      <c r="W60">
        <v>3</v>
      </c>
      <c r="X60">
        <v>3</v>
      </c>
      <c r="Y60">
        <v>2</v>
      </c>
      <c r="Z60">
        <v>2</v>
      </c>
      <c r="AA60">
        <v>2</v>
      </c>
      <c r="AB60">
        <v>2</v>
      </c>
      <c r="AC60">
        <v>3</v>
      </c>
      <c r="AD60">
        <v>3</v>
      </c>
      <c r="AE60">
        <v>3</v>
      </c>
      <c r="AF60">
        <v>2</v>
      </c>
      <c r="AG60">
        <v>2</v>
      </c>
      <c r="AH60">
        <v>2</v>
      </c>
      <c r="AI60">
        <v>2</v>
      </c>
      <c r="AJ60">
        <v>3</v>
      </c>
      <c r="AK60">
        <v>3</v>
      </c>
      <c r="AL60">
        <v>3</v>
      </c>
      <c r="AR60">
        <v>0</v>
      </c>
      <c r="AS60">
        <v>14</v>
      </c>
      <c r="AT60">
        <v>12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26</v>
      </c>
      <c r="BW60">
        <v>110000</v>
      </c>
      <c r="BX60" t="s">
        <v>382</v>
      </c>
      <c r="CP60">
        <v>0</v>
      </c>
      <c r="CQ60">
        <v>0</v>
      </c>
      <c r="CR60">
        <v>0</v>
      </c>
    </row>
    <row r="61" spans="1:96" hidden="1" x14ac:dyDescent="0.3">
      <c r="A61">
        <v>60</v>
      </c>
      <c r="B61" t="s">
        <v>383</v>
      </c>
      <c r="C61">
        <v>15012307</v>
      </c>
      <c r="D61" t="s">
        <v>384</v>
      </c>
      <c r="E61" t="s">
        <v>385</v>
      </c>
      <c r="F61" t="s">
        <v>386</v>
      </c>
      <c r="G61" t="s">
        <v>233</v>
      </c>
      <c r="H61" s="1">
        <v>46041</v>
      </c>
      <c r="I61" t="s">
        <v>140</v>
      </c>
      <c r="J61" t="s">
        <v>102</v>
      </c>
      <c r="K61" t="s">
        <v>147</v>
      </c>
      <c r="L61">
        <v>1790000090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3</v>
      </c>
      <c r="AR61">
        <v>0</v>
      </c>
      <c r="AS61">
        <v>0</v>
      </c>
      <c r="AT61">
        <v>8</v>
      </c>
      <c r="AU61">
        <v>15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8</v>
      </c>
      <c r="CI61">
        <v>473333</v>
      </c>
      <c r="CP61">
        <v>0</v>
      </c>
      <c r="CQ61">
        <v>0</v>
      </c>
      <c r="CR61">
        <v>0</v>
      </c>
    </row>
    <row r="62" spans="1:96" hidden="1" x14ac:dyDescent="0.3">
      <c r="A62">
        <v>61</v>
      </c>
      <c r="B62" t="s">
        <v>387</v>
      </c>
      <c r="C62">
        <v>15018611</v>
      </c>
      <c r="D62" t="s">
        <v>158</v>
      </c>
      <c r="E62" t="s">
        <v>388</v>
      </c>
      <c r="F62" t="s">
        <v>386</v>
      </c>
      <c r="G62" t="s">
        <v>389</v>
      </c>
      <c r="H62" s="1">
        <v>45689</v>
      </c>
      <c r="I62" t="s">
        <v>101</v>
      </c>
      <c r="J62" t="s">
        <v>102</v>
      </c>
      <c r="K62" t="s">
        <v>109</v>
      </c>
      <c r="L62">
        <v>1790000088</v>
      </c>
      <c r="M62">
        <v>1</v>
      </c>
      <c r="N62">
        <v>1</v>
      </c>
      <c r="O62">
        <v>3</v>
      </c>
      <c r="P62">
        <v>3</v>
      </c>
      <c r="Q62">
        <v>3</v>
      </c>
      <c r="R62">
        <v>1</v>
      </c>
      <c r="S62">
        <v>1</v>
      </c>
      <c r="T62">
        <v>1</v>
      </c>
      <c r="U62">
        <v>1</v>
      </c>
      <c r="V62">
        <v>3</v>
      </c>
      <c r="W62">
        <v>3</v>
      </c>
      <c r="X62">
        <v>3</v>
      </c>
      <c r="Y62">
        <v>1</v>
      </c>
      <c r="Z62">
        <v>1</v>
      </c>
      <c r="AA62">
        <v>1</v>
      </c>
      <c r="AB62">
        <v>1</v>
      </c>
      <c r="AC62">
        <v>3</v>
      </c>
      <c r="AD62">
        <v>3</v>
      </c>
      <c r="AE62">
        <v>3</v>
      </c>
      <c r="AF62">
        <v>1</v>
      </c>
      <c r="AG62">
        <v>1</v>
      </c>
      <c r="AH62">
        <v>1</v>
      </c>
      <c r="AI62">
        <v>1</v>
      </c>
      <c r="AJ62">
        <v>3</v>
      </c>
      <c r="AK62">
        <v>3</v>
      </c>
      <c r="AL62">
        <v>3</v>
      </c>
      <c r="AM62">
        <v>1</v>
      </c>
      <c r="AN62">
        <v>1</v>
      </c>
      <c r="AO62">
        <v>1</v>
      </c>
      <c r="AP62">
        <v>1</v>
      </c>
      <c r="AR62">
        <v>18</v>
      </c>
      <c r="AS62">
        <v>0</v>
      </c>
      <c r="AT62">
        <v>12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30</v>
      </c>
      <c r="BB62">
        <v>1508437</v>
      </c>
      <c r="BM62">
        <v>0</v>
      </c>
      <c r="CA62">
        <v>180000</v>
      </c>
      <c r="CB62" t="s">
        <v>390</v>
      </c>
      <c r="CP62">
        <v>0</v>
      </c>
      <c r="CQ62">
        <f>VLOOKUP(C62,SEGURO!$A$2:$C$28,3,0)</f>
        <v>46667</v>
      </c>
      <c r="CR62">
        <v>0</v>
      </c>
    </row>
    <row r="63" spans="1:96" hidden="1" x14ac:dyDescent="0.3">
      <c r="A63">
        <v>62</v>
      </c>
      <c r="B63" t="s">
        <v>391</v>
      </c>
      <c r="C63">
        <v>15033526</v>
      </c>
      <c r="D63" t="s">
        <v>392</v>
      </c>
      <c r="E63" t="s">
        <v>393</v>
      </c>
      <c r="F63" t="s">
        <v>394</v>
      </c>
      <c r="G63" t="s">
        <v>189</v>
      </c>
      <c r="H63" s="1">
        <v>46056</v>
      </c>
      <c r="I63" t="s">
        <v>140</v>
      </c>
      <c r="J63" t="s">
        <v>102</v>
      </c>
      <c r="K63" t="s">
        <v>147</v>
      </c>
      <c r="L63">
        <v>1790000090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R63">
        <v>0</v>
      </c>
      <c r="AS63">
        <v>14</v>
      </c>
      <c r="AT63">
        <v>16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30</v>
      </c>
      <c r="BC63">
        <v>266667</v>
      </c>
      <c r="BD63" t="s">
        <v>148</v>
      </c>
      <c r="BK63">
        <v>160000</v>
      </c>
      <c r="BL63" t="s">
        <v>218</v>
      </c>
      <c r="BP63">
        <v>75000</v>
      </c>
      <c r="CI63">
        <v>315556</v>
      </c>
      <c r="CP63">
        <v>0</v>
      </c>
      <c r="CQ63">
        <v>0</v>
      </c>
      <c r="CR63">
        <v>0</v>
      </c>
    </row>
    <row r="64" spans="1:96" x14ac:dyDescent="0.3">
      <c r="A64">
        <v>63</v>
      </c>
      <c r="B64" t="s">
        <v>395</v>
      </c>
      <c r="C64">
        <v>15036703</v>
      </c>
      <c r="D64" t="s">
        <v>396</v>
      </c>
      <c r="E64" t="s">
        <v>296</v>
      </c>
      <c r="F64" t="s">
        <v>397</v>
      </c>
      <c r="G64" t="s">
        <v>289</v>
      </c>
      <c r="H64" s="1">
        <v>45704</v>
      </c>
      <c r="I64" t="s">
        <v>101</v>
      </c>
      <c r="J64" t="s">
        <v>102</v>
      </c>
      <c r="K64" t="s">
        <v>127</v>
      </c>
      <c r="L64">
        <v>1790000088</v>
      </c>
      <c r="M64">
        <v>2</v>
      </c>
      <c r="N64">
        <v>2</v>
      </c>
      <c r="O64">
        <v>8</v>
      </c>
      <c r="P64">
        <v>8</v>
      </c>
      <c r="Q64">
        <v>2</v>
      </c>
      <c r="R64">
        <v>2</v>
      </c>
      <c r="S64">
        <v>2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R64">
        <v>0</v>
      </c>
      <c r="AS64">
        <v>14</v>
      </c>
      <c r="AT64">
        <v>14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30</v>
      </c>
      <c r="BM64">
        <v>2</v>
      </c>
      <c r="BN64">
        <v>717998</v>
      </c>
      <c r="BY64">
        <v>73050</v>
      </c>
      <c r="CP64">
        <v>0</v>
      </c>
      <c r="CQ64">
        <v>0</v>
      </c>
      <c r="CR64">
        <v>0</v>
      </c>
    </row>
    <row r="65" spans="1:96" hidden="1" x14ac:dyDescent="0.3">
      <c r="A65">
        <v>64</v>
      </c>
      <c r="B65" t="s">
        <v>398</v>
      </c>
      <c r="C65">
        <v>15043166</v>
      </c>
      <c r="D65" t="s">
        <v>399</v>
      </c>
      <c r="E65" t="s">
        <v>230</v>
      </c>
      <c r="F65" t="s">
        <v>400</v>
      </c>
      <c r="G65" t="s">
        <v>160</v>
      </c>
      <c r="H65" s="1">
        <v>45997</v>
      </c>
      <c r="I65" t="s">
        <v>140</v>
      </c>
      <c r="J65" t="s">
        <v>102</v>
      </c>
      <c r="K65" t="s">
        <v>272</v>
      </c>
      <c r="L65">
        <v>1790000090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3</v>
      </c>
      <c r="AI65">
        <v>3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3</v>
      </c>
      <c r="AR65">
        <v>0</v>
      </c>
      <c r="AS65">
        <v>14</v>
      </c>
      <c r="AT65">
        <v>16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30</v>
      </c>
      <c r="BC65">
        <v>130833</v>
      </c>
      <c r="BD65" t="s">
        <v>148</v>
      </c>
      <c r="BP65">
        <v>75000</v>
      </c>
      <c r="CI65">
        <v>473333</v>
      </c>
      <c r="CJ65">
        <v>213354</v>
      </c>
      <c r="CP65">
        <v>0</v>
      </c>
      <c r="CQ65">
        <v>0</v>
      </c>
      <c r="CR65">
        <v>0</v>
      </c>
    </row>
    <row r="66" spans="1:96" hidden="1" x14ac:dyDescent="0.3">
      <c r="A66">
        <v>65</v>
      </c>
      <c r="B66" t="s">
        <v>401</v>
      </c>
      <c r="C66">
        <v>15043532</v>
      </c>
      <c r="D66" t="s">
        <v>402</v>
      </c>
      <c r="E66" t="s">
        <v>403</v>
      </c>
      <c r="F66" t="s">
        <v>404</v>
      </c>
      <c r="G66" t="s">
        <v>353</v>
      </c>
      <c r="H66" s="1">
        <v>46082</v>
      </c>
      <c r="I66" t="s">
        <v>140</v>
      </c>
      <c r="J66" t="s">
        <v>102</v>
      </c>
      <c r="K66" t="s">
        <v>243</v>
      </c>
      <c r="L66">
        <v>1790000090</v>
      </c>
      <c r="M66">
        <v>2</v>
      </c>
      <c r="N66">
        <v>2</v>
      </c>
      <c r="O66">
        <v>8</v>
      </c>
      <c r="P66">
        <v>8</v>
      </c>
      <c r="Q66">
        <v>2</v>
      </c>
      <c r="R66">
        <v>2</v>
      </c>
      <c r="S66">
        <v>2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R66">
        <v>0</v>
      </c>
      <c r="AS66">
        <v>14</v>
      </c>
      <c r="AT66">
        <v>14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</v>
      </c>
      <c r="BA66">
        <v>30</v>
      </c>
      <c r="BM66">
        <v>2</v>
      </c>
      <c r="BN66">
        <v>282400</v>
      </c>
      <c r="BP66">
        <v>75000</v>
      </c>
      <c r="CI66">
        <v>315556</v>
      </c>
      <c r="CK66">
        <v>1270799</v>
      </c>
      <c r="CL66">
        <v>100000</v>
      </c>
      <c r="CP66">
        <v>0</v>
      </c>
      <c r="CQ66">
        <v>0</v>
      </c>
      <c r="CR66">
        <v>0</v>
      </c>
    </row>
    <row r="67" spans="1:96" hidden="1" x14ac:dyDescent="0.3">
      <c r="A67">
        <v>66</v>
      </c>
      <c r="B67" t="s">
        <v>405</v>
      </c>
      <c r="C67">
        <v>15050650</v>
      </c>
      <c r="D67" t="s">
        <v>406</v>
      </c>
      <c r="E67" t="s">
        <v>407</v>
      </c>
      <c r="F67" t="s">
        <v>408</v>
      </c>
      <c r="G67" t="s">
        <v>409</v>
      </c>
      <c r="H67" s="1">
        <v>45985</v>
      </c>
      <c r="I67" t="s">
        <v>140</v>
      </c>
      <c r="J67" t="s">
        <v>102</v>
      </c>
      <c r="K67" t="s">
        <v>208</v>
      </c>
      <c r="L67">
        <v>1790000090</v>
      </c>
      <c r="M67">
        <v>2</v>
      </c>
      <c r="N67">
        <v>2</v>
      </c>
      <c r="O67">
        <v>8</v>
      </c>
      <c r="P67">
        <v>8</v>
      </c>
      <c r="Q67">
        <v>2</v>
      </c>
      <c r="R67">
        <v>2</v>
      </c>
      <c r="S67">
        <v>2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R67">
        <v>0</v>
      </c>
      <c r="AS67">
        <v>14</v>
      </c>
      <c r="AT67">
        <v>14</v>
      </c>
      <c r="AU67">
        <v>0</v>
      </c>
      <c r="AV67">
        <v>0</v>
      </c>
      <c r="AW67">
        <v>0</v>
      </c>
      <c r="AX67">
        <v>0</v>
      </c>
      <c r="AY67">
        <v>2</v>
      </c>
      <c r="AZ67">
        <v>0</v>
      </c>
      <c r="BA67">
        <v>30</v>
      </c>
      <c r="BM67">
        <v>2</v>
      </c>
      <c r="BN67">
        <v>337200</v>
      </c>
      <c r="BP67">
        <v>75000</v>
      </c>
      <c r="CI67">
        <v>473333</v>
      </c>
      <c r="CK67">
        <v>1517399</v>
      </c>
      <c r="CL67">
        <v>100000</v>
      </c>
      <c r="CO67">
        <f>VLOOKUP(C67,'LOS HEROES'!$A$2:$D$30,4,0)</f>
        <v>184089</v>
      </c>
      <c r="CP67">
        <v>0</v>
      </c>
      <c r="CQ67">
        <v>0</v>
      </c>
      <c r="CR67">
        <v>0</v>
      </c>
    </row>
    <row r="68" spans="1:96" x14ac:dyDescent="0.3">
      <c r="A68">
        <v>67</v>
      </c>
      <c r="B68" t="s">
        <v>410</v>
      </c>
      <c r="C68">
        <v>15164558</v>
      </c>
      <c r="D68" t="s">
        <v>411</v>
      </c>
      <c r="E68" t="s">
        <v>412</v>
      </c>
      <c r="F68" t="s">
        <v>413</v>
      </c>
      <c r="G68" t="s">
        <v>414</v>
      </c>
      <c r="H68" s="1">
        <v>46054</v>
      </c>
      <c r="I68" t="s">
        <v>101</v>
      </c>
      <c r="J68" t="s">
        <v>102</v>
      </c>
      <c r="K68" t="s">
        <v>141</v>
      </c>
      <c r="L68">
        <v>1790000091</v>
      </c>
      <c r="M68">
        <v>3</v>
      </c>
      <c r="N68">
        <v>3</v>
      </c>
      <c r="O68">
        <v>8</v>
      </c>
      <c r="P68">
        <v>3</v>
      </c>
      <c r="Q68">
        <v>3</v>
      </c>
      <c r="R68">
        <v>3</v>
      </c>
      <c r="S68">
        <v>3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2</v>
      </c>
      <c r="AI68">
        <v>2</v>
      </c>
      <c r="AJ68">
        <v>2</v>
      </c>
      <c r="AK68">
        <v>2</v>
      </c>
      <c r="AL68">
        <v>2</v>
      </c>
      <c r="AM68">
        <v>2</v>
      </c>
      <c r="AN68">
        <v>2</v>
      </c>
      <c r="AO68">
        <v>3</v>
      </c>
      <c r="AP68">
        <v>3</v>
      </c>
      <c r="AR68">
        <v>0</v>
      </c>
      <c r="AS68">
        <v>14</v>
      </c>
      <c r="AT68">
        <v>15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30</v>
      </c>
      <c r="BM68">
        <v>1</v>
      </c>
      <c r="BN68">
        <v>243000</v>
      </c>
      <c r="BY68">
        <v>82000</v>
      </c>
      <c r="CO68">
        <f>VLOOKUP(C68,'LOS HEROES'!$A$2:$D$30,4,0)</f>
        <v>250278</v>
      </c>
      <c r="CP68">
        <v>0</v>
      </c>
      <c r="CQ68">
        <f>VLOOKUP(C68,SEGURO!$A$2:$C$28,3,0)</f>
        <v>46667</v>
      </c>
      <c r="CR68">
        <v>0</v>
      </c>
    </row>
    <row r="69" spans="1:96" hidden="1" x14ac:dyDescent="0.3">
      <c r="A69">
        <v>68</v>
      </c>
      <c r="B69" t="s">
        <v>415</v>
      </c>
      <c r="C69">
        <v>15356694</v>
      </c>
      <c r="D69" t="s">
        <v>416</v>
      </c>
      <c r="E69" t="s">
        <v>417</v>
      </c>
      <c r="F69" t="s">
        <v>418</v>
      </c>
      <c r="G69" t="s">
        <v>419</v>
      </c>
      <c r="H69" s="1">
        <v>45823</v>
      </c>
      <c r="I69" t="s">
        <v>140</v>
      </c>
      <c r="J69" t="s">
        <v>102</v>
      </c>
      <c r="K69" t="s">
        <v>190</v>
      </c>
      <c r="L69">
        <v>1790000088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R69">
        <v>14</v>
      </c>
      <c r="AS69">
        <v>0</v>
      </c>
      <c r="AT69">
        <v>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30</v>
      </c>
      <c r="BM69">
        <v>0</v>
      </c>
      <c r="CP69">
        <v>0</v>
      </c>
      <c r="CQ69">
        <v>0</v>
      </c>
      <c r="CR69">
        <v>0</v>
      </c>
    </row>
    <row r="70" spans="1:96" hidden="1" x14ac:dyDescent="0.3">
      <c r="A70">
        <v>69</v>
      </c>
      <c r="B70" t="s">
        <v>420</v>
      </c>
      <c r="C70">
        <v>15441205</v>
      </c>
      <c r="D70" t="s">
        <v>421</v>
      </c>
      <c r="E70" t="s">
        <v>422</v>
      </c>
      <c r="F70" t="s">
        <v>423</v>
      </c>
      <c r="G70" t="s">
        <v>312</v>
      </c>
      <c r="H70" s="1">
        <v>46078</v>
      </c>
      <c r="I70" t="s">
        <v>140</v>
      </c>
      <c r="J70" t="s">
        <v>102</v>
      </c>
      <c r="K70" t="s">
        <v>141</v>
      </c>
      <c r="L70">
        <v>1790000091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3</v>
      </c>
      <c r="AG70">
        <v>3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3</v>
      </c>
      <c r="AP70">
        <v>3</v>
      </c>
      <c r="AR70">
        <v>0</v>
      </c>
      <c r="AS70">
        <v>14</v>
      </c>
      <c r="AT70">
        <v>16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30</v>
      </c>
      <c r="CP70">
        <v>0</v>
      </c>
      <c r="CQ70">
        <v>0</v>
      </c>
      <c r="CR70">
        <v>0</v>
      </c>
    </row>
    <row r="71" spans="1:96" x14ac:dyDescent="0.3">
      <c r="A71">
        <v>70</v>
      </c>
      <c r="B71" t="s">
        <v>424</v>
      </c>
      <c r="C71">
        <v>15494188</v>
      </c>
      <c r="D71" t="s">
        <v>143</v>
      </c>
      <c r="E71" t="s">
        <v>425</v>
      </c>
      <c r="F71" t="s">
        <v>99</v>
      </c>
      <c r="G71" t="s">
        <v>426</v>
      </c>
      <c r="H71" s="1">
        <v>46064</v>
      </c>
      <c r="I71" t="s">
        <v>101</v>
      </c>
      <c r="J71" t="s">
        <v>102</v>
      </c>
      <c r="K71" t="s">
        <v>109</v>
      </c>
      <c r="L71">
        <v>1790000090</v>
      </c>
      <c r="M71">
        <v>2</v>
      </c>
      <c r="N71">
        <v>2</v>
      </c>
      <c r="O71">
        <v>3</v>
      </c>
      <c r="P71">
        <v>3</v>
      </c>
      <c r="Q71">
        <v>3</v>
      </c>
      <c r="R71">
        <v>2</v>
      </c>
      <c r="S71">
        <v>2</v>
      </c>
      <c r="T71">
        <v>2</v>
      </c>
      <c r="U71">
        <v>2</v>
      </c>
      <c r="V71">
        <v>3</v>
      </c>
      <c r="W71">
        <v>3</v>
      </c>
      <c r="X71">
        <v>3</v>
      </c>
      <c r="Y71">
        <v>2</v>
      </c>
      <c r="Z71">
        <v>2</v>
      </c>
      <c r="AA71">
        <v>2</v>
      </c>
      <c r="AB71">
        <v>2</v>
      </c>
      <c r="AC71">
        <v>3</v>
      </c>
      <c r="AD71">
        <v>3</v>
      </c>
      <c r="AE71">
        <v>3</v>
      </c>
      <c r="AF71">
        <v>2</v>
      </c>
      <c r="AG71">
        <v>2</v>
      </c>
      <c r="AH71">
        <v>2</v>
      </c>
      <c r="AI71">
        <v>2</v>
      </c>
      <c r="AJ71">
        <v>3</v>
      </c>
      <c r="AK71">
        <v>3</v>
      </c>
      <c r="AL71">
        <v>3</v>
      </c>
      <c r="AM71">
        <v>2</v>
      </c>
      <c r="AN71">
        <v>2</v>
      </c>
      <c r="AO71">
        <v>2</v>
      </c>
      <c r="AP71">
        <v>2</v>
      </c>
      <c r="AR71">
        <v>0</v>
      </c>
      <c r="AS71">
        <v>18</v>
      </c>
      <c r="AT71">
        <v>12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30</v>
      </c>
      <c r="BY71">
        <v>265000</v>
      </c>
      <c r="CI71">
        <v>315556</v>
      </c>
      <c r="CP71">
        <v>0</v>
      </c>
      <c r="CQ71">
        <v>0</v>
      </c>
      <c r="CR71">
        <v>0</v>
      </c>
    </row>
    <row r="72" spans="1:96" hidden="1" x14ac:dyDescent="0.3">
      <c r="A72">
        <v>71</v>
      </c>
      <c r="B72" t="s">
        <v>427</v>
      </c>
      <c r="C72">
        <v>15494242</v>
      </c>
      <c r="D72" t="s">
        <v>428</v>
      </c>
      <c r="E72" t="s">
        <v>296</v>
      </c>
      <c r="F72" t="s">
        <v>429</v>
      </c>
      <c r="G72" t="s">
        <v>146</v>
      </c>
      <c r="H72" s="1">
        <v>45997</v>
      </c>
      <c r="I72" t="s">
        <v>140</v>
      </c>
      <c r="J72" t="s">
        <v>102</v>
      </c>
      <c r="K72" t="s">
        <v>272</v>
      </c>
      <c r="L72">
        <v>1790000090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  <c r="AR72">
        <v>0</v>
      </c>
      <c r="AS72">
        <v>14</v>
      </c>
      <c r="AT72">
        <v>16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30</v>
      </c>
      <c r="BC72">
        <v>235333</v>
      </c>
      <c r="BD72" t="s">
        <v>148</v>
      </c>
      <c r="BP72">
        <v>75000</v>
      </c>
      <c r="CI72">
        <v>473333</v>
      </c>
      <c r="CP72">
        <v>0</v>
      </c>
      <c r="CQ72">
        <v>0</v>
      </c>
      <c r="CR72">
        <v>0</v>
      </c>
    </row>
    <row r="73" spans="1:96" hidden="1" x14ac:dyDescent="0.3">
      <c r="A73">
        <v>72</v>
      </c>
      <c r="B73" t="s">
        <v>430</v>
      </c>
      <c r="C73">
        <v>15575503</v>
      </c>
      <c r="D73" t="s">
        <v>431</v>
      </c>
      <c r="E73" t="s">
        <v>432</v>
      </c>
      <c r="F73" t="s">
        <v>433</v>
      </c>
      <c r="G73" t="s">
        <v>233</v>
      </c>
      <c r="H73" s="1">
        <v>46104</v>
      </c>
      <c r="I73" t="s">
        <v>140</v>
      </c>
      <c r="J73" t="s">
        <v>102</v>
      </c>
      <c r="K73" t="s">
        <v>208</v>
      </c>
      <c r="L73">
        <v>1790000090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3</v>
      </c>
      <c r="AA73">
        <v>3</v>
      </c>
      <c r="AB73">
        <v>3</v>
      </c>
      <c r="AR73">
        <v>7</v>
      </c>
      <c r="AS73">
        <v>0</v>
      </c>
      <c r="AT73">
        <v>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16</v>
      </c>
      <c r="CI73">
        <v>0</v>
      </c>
      <c r="CP73">
        <v>0</v>
      </c>
      <c r="CQ73">
        <v>0</v>
      </c>
      <c r="CR73">
        <v>0</v>
      </c>
    </row>
    <row r="74" spans="1:96" hidden="1" x14ac:dyDescent="0.3">
      <c r="A74">
        <v>73</v>
      </c>
      <c r="B74" t="s">
        <v>434</v>
      </c>
      <c r="C74">
        <v>15661268</v>
      </c>
      <c r="D74" t="s">
        <v>435</v>
      </c>
      <c r="E74" t="s">
        <v>436</v>
      </c>
      <c r="F74" t="s">
        <v>437</v>
      </c>
      <c r="G74" t="s">
        <v>438</v>
      </c>
      <c r="H74" s="1"/>
      <c r="I74" t="s">
        <v>101</v>
      </c>
      <c r="J74" t="s">
        <v>102</v>
      </c>
      <c r="K74" t="s">
        <v>103</v>
      </c>
      <c r="L74">
        <v>1750000001</v>
      </c>
      <c r="M74">
        <v>1</v>
      </c>
      <c r="N74">
        <v>1</v>
      </c>
      <c r="O74">
        <v>3</v>
      </c>
      <c r="P74">
        <v>3</v>
      </c>
      <c r="Q74">
        <v>3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3</v>
      </c>
      <c r="AE74">
        <v>3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3</v>
      </c>
      <c r="AL74">
        <v>3</v>
      </c>
      <c r="AM74">
        <v>1</v>
      </c>
      <c r="AN74">
        <v>1</v>
      </c>
      <c r="AO74">
        <v>1</v>
      </c>
      <c r="AP74">
        <v>1</v>
      </c>
      <c r="AR74">
        <v>23</v>
      </c>
      <c r="AS74">
        <v>0</v>
      </c>
      <c r="AT74">
        <v>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  <c r="CP74">
        <v>0</v>
      </c>
      <c r="CQ74">
        <f>VLOOKUP(C74,SEGURO!$A$2:$C$28,3,0)</f>
        <v>46667</v>
      </c>
      <c r="CR74">
        <f>VLOOKUP(C74,FALP!$A$2:$C$13,3,0)</f>
        <v>17600</v>
      </c>
    </row>
    <row r="75" spans="1:96" x14ac:dyDescent="0.3">
      <c r="A75">
        <v>74</v>
      </c>
      <c r="B75" t="s">
        <v>439</v>
      </c>
      <c r="C75">
        <v>15684747</v>
      </c>
      <c r="D75" t="s">
        <v>186</v>
      </c>
      <c r="E75" t="s">
        <v>440</v>
      </c>
      <c r="F75" t="s">
        <v>441</v>
      </c>
      <c r="G75" t="s">
        <v>442</v>
      </c>
      <c r="H75" s="1">
        <v>45748</v>
      </c>
      <c r="I75" t="s">
        <v>101</v>
      </c>
      <c r="J75" t="s">
        <v>253</v>
      </c>
      <c r="K75" t="s">
        <v>109</v>
      </c>
      <c r="L75">
        <v>1790000088</v>
      </c>
      <c r="M75">
        <v>1</v>
      </c>
      <c r="N75">
        <v>1</v>
      </c>
      <c r="O75">
        <v>3</v>
      </c>
      <c r="P75">
        <v>3</v>
      </c>
      <c r="Q75">
        <v>3</v>
      </c>
      <c r="R75">
        <v>1</v>
      </c>
      <c r="S75">
        <v>1</v>
      </c>
      <c r="T75">
        <v>1</v>
      </c>
      <c r="U75">
        <v>1</v>
      </c>
      <c r="V75">
        <v>3</v>
      </c>
      <c r="W75">
        <v>3</v>
      </c>
      <c r="X75">
        <v>3</v>
      </c>
      <c r="Y75">
        <v>1</v>
      </c>
      <c r="Z75">
        <v>1</v>
      </c>
      <c r="AA75">
        <v>1</v>
      </c>
      <c r="AB75">
        <v>1</v>
      </c>
      <c r="AC75">
        <v>8</v>
      </c>
      <c r="AD75">
        <v>3</v>
      </c>
      <c r="AE75">
        <v>3</v>
      </c>
      <c r="AF75">
        <v>1</v>
      </c>
      <c r="AG75">
        <v>1</v>
      </c>
      <c r="AH75">
        <v>1</v>
      </c>
      <c r="AI75">
        <v>1</v>
      </c>
      <c r="AJ75">
        <v>3</v>
      </c>
      <c r="AK75">
        <v>3</v>
      </c>
      <c r="AL75">
        <v>3</v>
      </c>
      <c r="AM75">
        <v>1</v>
      </c>
      <c r="AN75">
        <v>1</v>
      </c>
      <c r="AO75">
        <v>1</v>
      </c>
      <c r="AP75">
        <v>1</v>
      </c>
      <c r="AR75">
        <v>18</v>
      </c>
      <c r="AS75">
        <v>0</v>
      </c>
      <c r="AT75">
        <v>11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30</v>
      </c>
      <c r="BE75">
        <v>1634000</v>
      </c>
      <c r="BF75" t="s">
        <v>329</v>
      </c>
      <c r="BM75">
        <v>1</v>
      </c>
      <c r="BN75">
        <v>171299</v>
      </c>
      <c r="BY75">
        <v>64263</v>
      </c>
      <c r="CE75">
        <v>77281</v>
      </c>
      <c r="CP75">
        <v>0</v>
      </c>
      <c r="CQ75">
        <f>VLOOKUP(C75,SEGURO!$A$2:$C$28,3,0)</f>
        <v>46667</v>
      </c>
      <c r="CR75">
        <v>0</v>
      </c>
    </row>
    <row r="76" spans="1:96" hidden="1" x14ac:dyDescent="0.3">
      <c r="A76">
        <v>75</v>
      </c>
      <c r="B76" t="s">
        <v>443</v>
      </c>
      <c r="C76">
        <v>15757199</v>
      </c>
      <c r="D76" t="s">
        <v>444</v>
      </c>
      <c r="E76" t="s">
        <v>445</v>
      </c>
      <c r="F76" t="s">
        <v>446</v>
      </c>
      <c r="G76" t="s">
        <v>160</v>
      </c>
      <c r="H76" s="1">
        <v>46023</v>
      </c>
      <c r="I76" t="s">
        <v>140</v>
      </c>
      <c r="J76" t="s">
        <v>102</v>
      </c>
      <c r="K76" t="s">
        <v>208</v>
      </c>
      <c r="L76">
        <v>1790000090</v>
      </c>
      <c r="M76">
        <v>2</v>
      </c>
      <c r="N76">
        <v>2</v>
      </c>
      <c r="O76">
        <v>8</v>
      </c>
      <c r="P76">
        <v>8</v>
      </c>
      <c r="Q76">
        <v>2</v>
      </c>
      <c r="R76">
        <v>2</v>
      </c>
      <c r="S76">
        <v>2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R76">
        <v>0</v>
      </c>
      <c r="AS76">
        <v>5</v>
      </c>
      <c r="AT76">
        <v>14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21</v>
      </c>
      <c r="BM76">
        <v>2</v>
      </c>
      <c r="BN76">
        <v>157000</v>
      </c>
      <c r="BP76">
        <v>52500</v>
      </c>
      <c r="CI76">
        <v>315555</v>
      </c>
      <c r="CP76">
        <v>0</v>
      </c>
      <c r="CQ76">
        <v>0</v>
      </c>
      <c r="CR76">
        <v>0</v>
      </c>
    </row>
    <row r="77" spans="1:96" hidden="1" x14ac:dyDescent="0.3">
      <c r="A77">
        <v>76</v>
      </c>
      <c r="B77" t="s">
        <v>447</v>
      </c>
      <c r="C77">
        <v>15802017</v>
      </c>
      <c r="D77" t="s">
        <v>448</v>
      </c>
      <c r="E77" t="s">
        <v>449</v>
      </c>
      <c r="F77" t="s">
        <v>450</v>
      </c>
      <c r="G77" t="s">
        <v>353</v>
      </c>
      <c r="H77" s="1">
        <v>45974</v>
      </c>
      <c r="I77" t="s">
        <v>140</v>
      </c>
      <c r="J77" t="s">
        <v>102</v>
      </c>
      <c r="K77" t="s">
        <v>208</v>
      </c>
      <c r="L77">
        <v>1790000090</v>
      </c>
      <c r="M77">
        <v>2</v>
      </c>
      <c r="N77">
        <v>2</v>
      </c>
      <c r="O77">
        <v>8</v>
      </c>
      <c r="P77">
        <v>8</v>
      </c>
      <c r="Q77">
        <v>2</v>
      </c>
      <c r="R77">
        <v>2</v>
      </c>
      <c r="S77">
        <v>2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2</v>
      </c>
      <c r="AI77">
        <v>2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2</v>
      </c>
      <c r="AP77">
        <v>2</v>
      </c>
      <c r="AR77">
        <v>0</v>
      </c>
      <c r="AS77">
        <v>14</v>
      </c>
      <c r="AT77">
        <v>14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0</v>
      </c>
      <c r="BA77">
        <v>30</v>
      </c>
      <c r="BM77">
        <v>2</v>
      </c>
      <c r="BN77">
        <v>282400</v>
      </c>
      <c r="BP77">
        <v>75000</v>
      </c>
      <c r="CI77">
        <v>473333</v>
      </c>
      <c r="CO77">
        <f>VLOOKUP(C77,'LOS HEROES'!$A$2:$D$30,4,0)</f>
        <v>154145</v>
      </c>
      <c r="CP77">
        <v>0</v>
      </c>
      <c r="CQ77">
        <v>0</v>
      </c>
      <c r="CR77">
        <v>0</v>
      </c>
    </row>
    <row r="78" spans="1:96" hidden="1" x14ac:dyDescent="0.3">
      <c r="A78">
        <v>77</v>
      </c>
      <c r="B78" t="s">
        <v>451</v>
      </c>
      <c r="C78">
        <v>15802541</v>
      </c>
      <c r="D78" t="s">
        <v>315</v>
      </c>
      <c r="E78" t="s">
        <v>296</v>
      </c>
      <c r="F78" t="s">
        <v>452</v>
      </c>
      <c r="G78" t="s">
        <v>233</v>
      </c>
      <c r="H78" s="1">
        <v>46006</v>
      </c>
      <c r="I78" t="s">
        <v>140</v>
      </c>
      <c r="J78" t="s">
        <v>102</v>
      </c>
      <c r="K78" t="s">
        <v>147</v>
      </c>
      <c r="L78">
        <v>1790000090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R78">
        <v>0</v>
      </c>
      <c r="AS78">
        <v>14</v>
      </c>
      <c r="AT78">
        <v>16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30</v>
      </c>
      <c r="BC78">
        <v>150000</v>
      </c>
      <c r="BD78" t="s">
        <v>148</v>
      </c>
      <c r="BP78">
        <v>75000</v>
      </c>
      <c r="CI78">
        <v>473333</v>
      </c>
      <c r="CP78">
        <v>0</v>
      </c>
      <c r="CQ78">
        <v>0</v>
      </c>
      <c r="CR78">
        <v>0</v>
      </c>
    </row>
    <row r="79" spans="1:96" hidden="1" x14ac:dyDescent="0.3">
      <c r="A79">
        <v>78</v>
      </c>
      <c r="B79" t="s">
        <v>453</v>
      </c>
      <c r="C79">
        <v>15834377</v>
      </c>
      <c r="D79" t="s">
        <v>454</v>
      </c>
      <c r="E79" t="s">
        <v>455</v>
      </c>
      <c r="F79" t="s">
        <v>456</v>
      </c>
      <c r="G79" t="s">
        <v>233</v>
      </c>
      <c r="H79" s="1">
        <v>46054</v>
      </c>
      <c r="I79" t="s">
        <v>140</v>
      </c>
      <c r="J79" t="s">
        <v>102</v>
      </c>
      <c r="K79" t="s">
        <v>243</v>
      </c>
      <c r="L79">
        <v>1790000090</v>
      </c>
      <c r="M79">
        <v>2</v>
      </c>
      <c r="N79">
        <v>2</v>
      </c>
      <c r="O79">
        <v>8</v>
      </c>
      <c r="P79">
        <v>8</v>
      </c>
      <c r="Q79">
        <v>2</v>
      </c>
      <c r="R79">
        <v>2</v>
      </c>
      <c r="S79">
        <v>2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R79">
        <v>0</v>
      </c>
      <c r="AS79">
        <v>5</v>
      </c>
      <c r="AT79">
        <v>14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21</v>
      </c>
      <c r="BM79">
        <v>2</v>
      </c>
      <c r="BN79">
        <v>180000</v>
      </c>
      <c r="BP79">
        <v>52500</v>
      </c>
      <c r="CI79">
        <v>315555</v>
      </c>
      <c r="CP79">
        <v>0</v>
      </c>
      <c r="CQ79">
        <v>0</v>
      </c>
      <c r="CR79">
        <v>0</v>
      </c>
    </row>
    <row r="80" spans="1:96" hidden="1" x14ac:dyDescent="0.3">
      <c r="A80">
        <v>79</v>
      </c>
      <c r="B80" t="s">
        <v>457</v>
      </c>
      <c r="C80">
        <v>15876024</v>
      </c>
      <c r="D80" t="s">
        <v>458</v>
      </c>
      <c r="E80" t="s">
        <v>411</v>
      </c>
      <c r="F80" t="s">
        <v>459</v>
      </c>
      <c r="G80" t="s">
        <v>460</v>
      </c>
      <c r="H80" s="1">
        <v>46069</v>
      </c>
      <c r="I80" t="s">
        <v>140</v>
      </c>
      <c r="J80" t="s">
        <v>102</v>
      </c>
      <c r="K80" t="s">
        <v>147</v>
      </c>
      <c r="L80">
        <v>1790000090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R80">
        <v>0</v>
      </c>
      <c r="AS80">
        <v>14</v>
      </c>
      <c r="AT80">
        <v>16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30</v>
      </c>
      <c r="BC80">
        <v>150000</v>
      </c>
      <c r="BD80" t="s">
        <v>148</v>
      </c>
      <c r="BP80">
        <v>75000</v>
      </c>
      <c r="CI80">
        <v>315556</v>
      </c>
      <c r="CP80">
        <f>VLOOKUP(C80,'LA ARAUCANA'!$A$2:$D$5,4,0)</f>
        <v>101408</v>
      </c>
      <c r="CQ80">
        <v>0</v>
      </c>
      <c r="CR80">
        <v>0</v>
      </c>
    </row>
    <row r="81" spans="1:96" hidden="1" x14ac:dyDescent="0.3">
      <c r="A81">
        <v>80</v>
      </c>
      <c r="B81" t="s">
        <v>461</v>
      </c>
      <c r="C81">
        <v>15936945</v>
      </c>
      <c r="D81" t="s">
        <v>411</v>
      </c>
      <c r="E81" t="s">
        <v>462</v>
      </c>
      <c r="F81" t="s">
        <v>463</v>
      </c>
      <c r="G81" t="s">
        <v>464</v>
      </c>
      <c r="H81" s="1"/>
      <c r="I81" t="s">
        <v>101</v>
      </c>
      <c r="J81" t="s">
        <v>253</v>
      </c>
      <c r="K81" t="s">
        <v>103</v>
      </c>
      <c r="L81">
        <v>1750000001</v>
      </c>
      <c r="M81">
        <v>1</v>
      </c>
      <c r="N81">
        <v>1</v>
      </c>
      <c r="O81">
        <v>3</v>
      </c>
      <c r="P81">
        <v>3</v>
      </c>
      <c r="Q81">
        <v>3</v>
      </c>
      <c r="R81">
        <v>1</v>
      </c>
      <c r="S81">
        <v>1</v>
      </c>
      <c r="T81">
        <v>1</v>
      </c>
      <c r="U81">
        <v>1</v>
      </c>
      <c r="V81">
        <v>1</v>
      </c>
      <c r="W81">
        <v>3</v>
      </c>
      <c r="X81">
        <v>3</v>
      </c>
      <c r="Y81">
        <v>1</v>
      </c>
      <c r="Z81">
        <v>1</v>
      </c>
      <c r="AA81">
        <v>1</v>
      </c>
      <c r="AB81">
        <v>1</v>
      </c>
      <c r="AC81">
        <v>1</v>
      </c>
      <c r="AD81">
        <v>3</v>
      </c>
      <c r="AE81">
        <v>3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3</v>
      </c>
      <c r="AL81">
        <v>3</v>
      </c>
      <c r="AM81">
        <v>1</v>
      </c>
      <c r="AN81">
        <v>1</v>
      </c>
      <c r="AO81">
        <v>1</v>
      </c>
      <c r="AP81">
        <v>1</v>
      </c>
      <c r="AR81">
        <v>21</v>
      </c>
      <c r="AS81">
        <v>0</v>
      </c>
      <c r="AT81">
        <v>9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  <c r="CP81">
        <v>0</v>
      </c>
      <c r="CQ81">
        <f>VLOOKUP(C81,SEGURO!$A$2:$C$28,3,0)</f>
        <v>32725</v>
      </c>
      <c r="CR81">
        <f>VLOOKUP(C81,FALP!$A$2:$C$13,3,0)</f>
        <v>8800</v>
      </c>
    </row>
    <row r="82" spans="1:96" hidden="1" x14ac:dyDescent="0.3">
      <c r="A82">
        <v>81</v>
      </c>
      <c r="B82" t="s">
        <v>465</v>
      </c>
      <c r="C82">
        <v>15969632</v>
      </c>
      <c r="D82" t="s">
        <v>466</v>
      </c>
      <c r="E82" t="s">
        <v>467</v>
      </c>
      <c r="F82" t="s">
        <v>468</v>
      </c>
      <c r="G82" t="s">
        <v>213</v>
      </c>
      <c r="H82" s="1">
        <v>45824</v>
      </c>
      <c r="I82" t="s">
        <v>140</v>
      </c>
      <c r="J82" t="s">
        <v>102</v>
      </c>
      <c r="K82" t="s">
        <v>190</v>
      </c>
      <c r="L82">
        <v>1790000088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3</v>
      </c>
      <c r="AI82">
        <v>3</v>
      </c>
      <c r="AJ82">
        <v>3</v>
      </c>
      <c r="AK82">
        <v>3</v>
      </c>
      <c r="AL82">
        <v>3</v>
      </c>
      <c r="AM82">
        <v>3</v>
      </c>
      <c r="AN82">
        <v>3</v>
      </c>
      <c r="AO82">
        <v>3</v>
      </c>
      <c r="AP82">
        <v>3</v>
      </c>
      <c r="AR82">
        <v>14</v>
      </c>
      <c r="AS82">
        <v>0</v>
      </c>
      <c r="AT82">
        <v>16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30</v>
      </c>
      <c r="BM82">
        <v>0</v>
      </c>
      <c r="CP82">
        <v>0</v>
      </c>
      <c r="CQ82">
        <v>0</v>
      </c>
      <c r="CR82">
        <v>0</v>
      </c>
    </row>
    <row r="83" spans="1:96" hidden="1" x14ac:dyDescent="0.3">
      <c r="A83">
        <v>82</v>
      </c>
      <c r="B83" t="s">
        <v>469</v>
      </c>
      <c r="C83">
        <v>15975698</v>
      </c>
      <c r="D83" t="s">
        <v>379</v>
      </c>
      <c r="E83" t="s">
        <v>470</v>
      </c>
      <c r="F83" t="s">
        <v>471</v>
      </c>
      <c r="G83" t="s">
        <v>472</v>
      </c>
      <c r="H83" s="1">
        <v>46003</v>
      </c>
      <c r="I83" t="s">
        <v>101</v>
      </c>
      <c r="J83" t="s">
        <v>102</v>
      </c>
      <c r="K83" t="s">
        <v>147</v>
      </c>
      <c r="L83">
        <v>1790000090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3</v>
      </c>
      <c r="AR83">
        <v>0</v>
      </c>
      <c r="AS83">
        <v>14</v>
      </c>
      <c r="AT83">
        <v>16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30</v>
      </c>
      <c r="BC83">
        <v>182167</v>
      </c>
      <c r="BD83" t="s">
        <v>148</v>
      </c>
      <c r="BP83">
        <v>75000</v>
      </c>
      <c r="CI83">
        <v>473333</v>
      </c>
      <c r="CP83">
        <v>0</v>
      </c>
      <c r="CQ83">
        <v>0</v>
      </c>
      <c r="CR83">
        <v>0</v>
      </c>
    </row>
    <row r="84" spans="1:96" hidden="1" x14ac:dyDescent="0.3">
      <c r="A84">
        <v>83</v>
      </c>
      <c r="B84" t="s">
        <v>473</v>
      </c>
      <c r="C84">
        <v>15980010</v>
      </c>
      <c r="D84" t="s">
        <v>263</v>
      </c>
      <c r="E84" t="s">
        <v>474</v>
      </c>
      <c r="F84" t="s">
        <v>475</v>
      </c>
      <c r="G84" t="s">
        <v>153</v>
      </c>
      <c r="H84" s="1">
        <v>45704</v>
      </c>
      <c r="I84" t="s">
        <v>101</v>
      </c>
      <c r="J84" t="s">
        <v>102</v>
      </c>
      <c r="K84" t="s">
        <v>127</v>
      </c>
      <c r="L84">
        <v>1790000088</v>
      </c>
      <c r="M84">
        <v>2</v>
      </c>
      <c r="N84">
        <v>2</v>
      </c>
      <c r="O84">
        <v>8</v>
      </c>
      <c r="P84">
        <v>8</v>
      </c>
      <c r="Q84">
        <v>2</v>
      </c>
      <c r="R84">
        <v>2</v>
      </c>
      <c r="S84">
        <v>2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2</v>
      </c>
      <c r="AI84">
        <v>2</v>
      </c>
      <c r="AJ84">
        <v>2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R84">
        <v>0</v>
      </c>
      <c r="AS84">
        <v>14</v>
      </c>
      <c r="AT84">
        <v>14</v>
      </c>
      <c r="AU84">
        <v>0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30</v>
      </c>
      <c r="BM84">
        <v>2</v>
      </c>
      <c r="BN84">
        <v>461598</v>
      </c>
      <c r="CP84">
        <v>0</v>
      </c>
      <c r="CQ84">
        <v>0</v>
      </c>
      <c r="CR84">
        <v>0</v>
      </c>
    </row>
    <row r="85" spans="1:96" hidden="1" x14ac:dyDescent="0.3">
      <c r="A85">
        <v>84</v>
      </c>
      <c r="B85" t="s">
        <v>476</v>
      </c>
      <c r="C85">
        <v>15982591</v>
      </c>
      <c r="D85" t="s">
        <v>477</v>
      </c>
      <c r="E85" t="s">
        <v>478</v>
      </c>
      <c r="F85" t="s">
        <v>479</v>
      </c>
      <c r="G85" t="s">
        <v>480</v>
      </c>
      <c r="H85" s="1">
        <v>45962</v>
      </c>
      <c r="I85" t="s">
        <v>101</v>
      </c>
      <c r="J85" t="s">
        <v>102</v>
      </c>
      <c r="K85" t="s">
        <v>109</v>
      </c>
      <c r="L85">
        <v>1790000090</v>
      </c>
      <c r="M85">
        <v>2</v>
      </c>
      <c r="N85">
        <v>2</v>
      </c>
      <c r="O85">
        <v>3</v>
      </c>
      <c r="P85">
        <v>3</v>
      </c>
      <c r="Q85">
        <v>3</v>
      </c>
      <c r="R85">
        <v>2</v>
      </c>
      <c r="S85">
        <v>2</v>
      </c>
      <c r="T85">
        <v>2</v>
      </c>
      <c r="U85">
        <v>2</v>
      </c>
      <c r="V85">
        <v>3</v>
      </c>
      <c r="W85">
        <v>3</v>
      </c>
      <c r="X85">
        <v>3</v>
      </c>
      <c r="Y85">
        <v>2</v>
      </c>
      <c r="Z85">
        <v>2</v>
      </c>
      <c r="AA85">
        <v>2</v>
      </c>
      <c r="AB85">
        <v>2</v>
      </c>
      <c r="AC85">
        <v>3</v>
      </c>
      <c r="AD85">
        <v>3</v>
      </c>
      <c r="AE85">
        <v>3</v>
      </c>
      <c r="AF85">
        <v>2</v>
      </c>
      <c r="AG85">
        <v>2</v>
      </c>
      <c r="AH85">
        <v>2</v>
      </c>
      <c r="AI85">
        <v>2</v>
      </c>
      <c r="AJ85">
        <v>3</v>
      </c>
      <c r="AK85">
        <v>3</v>
      </c>
      <c r="AL85">
        <v>3</v>
      </c>
      <c r="AM85">
        <v>2</v>
      </c>
      <c r="AN85">
        <v>2</v>
      </c>
      <c r="AO85">
        <v>2</v>
      </c>
      <c r="AP85">
        <v>2</v>
      </c>
      <c r="AR85">
        <v>0</v>
      </c>
      <c r="AS85">
        <v>18</v>
      </c>
      <c r="AT85">
        <v>12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  <c r="BE85">
        <v>940000</v>
      </c>
      <c r="BF85" t="s">
        <v>273</v>
      </c>
      <c r="CI85">
        <v>473333</v>
      </c>
      <c r="CP85">
        <v>0</v>
      </c>
      <c r="CQ85">
        <f>VLOOKUP(C85,SEGURO!$A$2:$C$28,3,0)</f>
        <v>18779</v>
      </c>
      <c r="CR85">
        <v>0</v>
      </c>
    </row>
    <row r="86" spans="1:96" hidden="1" x14ac:dyDescent="0.3">
      <c r="A86">
        <v>85</v>
      </c>
      <c r="B86" t="s">
        <v>481</v>
      </c>
      <c r="C86">
        <v>16054274</v>
      </c>
      <c r="D86" t="s">
        <v>482</v>
      </c>
      <c r="E86" t="s">
        <v>483</v>
      </c>
      <c r="F86" t="s">
        <v>484</v>
      </c>
      <c r="G86" t="s">
        <v>312</v>
      </c>
      <c r="H86" s="1">
        <v>45889</v>
      </c>
      <c r="I86" t="s">
        <v>140</v>
      </c>
      <c r="J86" t="s">
        <v>102</v>
      </c>
      <c r="K86" t="s">
        <v>190</v>
      </c>
      <c r="L86">
        <v>1790000088</v>
      </c>
      <c r="M86">
        <v>3</v>
      </c>
      <c r="N86">
        <v>3</v>
      </c>
      <c r="O86">
        <v>3</v>
      </c>
      <c r="P86">
        <v>3</v>
      </c>
      <c r="Q86">
        <v>3</v>
      </c>
      <c r="R86">
        <v>3</v>
      </c>
      <c r="S86">
        <v>3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3</v>
      </c>
      <c r="AI86">
        <v>3</v>
      </c>
      <c r="AJ86">
        <v>3</v>
      </c>
      <c r="AK86">
        <v>3</v>
      </c>
      <c r="AL86">
        <v>3</v>
      </c>
      <c r="AM86">
        <v>3</v>
      </c>
      <c r="AN86">
        <v>3</v>
      </c>
      <c r="AO86">
        <v>3</v>
      </c>
      <c r="AP86">
        <v>3</v>
      </c>
      <c r="AR86">
        <v>0</v>
      </c>
      <c r="AS86">
        <v>14</v>
      </c>
      <c r="AT86">
        <v>16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30</v>
      </c>
      <c r="BM86">
        <v>0</v>
      </c>
      <c r="CP86">
        <v>0</v>
      </c>
      <c r="CQ86">
        <v>0</v>
      </c>
      <c r="CR86">
        <v>0</v>
      </c>
    </row>
    <row r="87" spans="1:96" hidden="1" x14ac:dyDescent="0.3">
      <c r="A87">
        <v>86</v>
      </c>
      <c r="B87" t="s">
        <v>485</v>
      </c>
      <c r="C87">
        <v>16055086</v>
      </c>
      <c r="D87" t="s">
        <v>486</v>
      </c>
      <c r="E87" t="s">
        <v>487</v>
      </c>
      <c r="F87" t="s">
        <v>488</v>
      </c>
      <c r="G87" t="s">
        <v>489</v>
      </c>
      <c r="H87" s="1">
        <v>45820</v>
      </c>
      <c r="I87" t="s">
        <v>140</v>
      </c>
      <c r="J87" t="s">
        <v>102</v>
      </c>
      <c r="K87" t="s">
        <v>127</v>
      </c>
      <c r="L87">
        <v>1790000088</v>
      </c>
      <c r="M87">
        <v>2</v>
      </c>
      <c r="N87">
        <v>2</v>
      </c>
      <c r="O87">
        <v>8</v>
      </c>
      <c r="P87">
        <v>8</v>
      </c>
      <c r="Q87">
        <v>2</v>
      </c>
      <c r="R87">
        <v>2</v>
      </c>
      <c r="S87">
        <v>1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R87">
        <v>1</v>
      </c>
      <c r="AS87">
        <v>13</v>
      </c>
      <c r="AT87">
        <v>14</v>
      </c>
      <c r="AU87">
        <v>0</v>
      </c>
      <c r="AV87">
        <v>0</v>
      </c>
      <c r="AW87">
        <v>0</v>
      </c>
      <c r="AX87">
        <v>0</v>
      </c>
      <c r="AY87">
        <v>2</v>
      </c>
      <c r="AZ87">
        <v>0</v>
      </c>
      <c r="BA87">
        <v>30</v>
      </c>
      <c r="BM87">
        <v>2</v>
      </c>
      <c r="BN87">
        <v>170000</v>
      </c>
      <c r="CP87">
        <v>0</v>
      </c>
      <c r="CQ87">
        <v>0</v>
      </c>
      <c r="CR87">
        <v>0</v>
      </c>
    </row>
    <row r="88" spans="1:96" x14ac:dyDescent="0.3">
      <c r="A88">
        <v>87</v>
      </c>
      <c r="B88" t="s">
        <v>490</v>
      </c>
      <c r="C88">
        <v>16109258</v>
      </c>
      <c r="D88" t="s">
        <v>491</v>
      </c>
      <c r="E88" t="s">
        <v>492</v>
      </c>
      <c r="F88" t="s">
        <v>493</v>
      </c>
      <c r="G88" t="s">
        <v>139</v>
      </c>
      <c r="H88" s="1">
        <v>46096</v>
      </c>
      <c r="I88" t="s">
        <v>140</v>
      </c>
      <c r="J88" t="s">
        <v>102</v>
      </c>
      <c r="K88" t="s">
        <v>141</v>
      </c>
      <c r="L88">
        <v>1790000091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3</v>
      </c>
      <c r="AP88">
        <v>3</v>
      </c>
      <c r="AR88">
        <v>0</v>
      </c>
      <c r="AS88">
        <v>14</v>
      </c>
      <c r="AT88">
        <v>16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30</v>
      </c>
      <c r="BY88">
        <v>25000</v>
      </c>
      <c r="CO88">
        <f>VLOOKUP(C88,'LOS HEROES'!$A$2:$D$30,4,0)</f>
        <v>5522</v>
      </c>
      <c r="CP88">
        <v>0</v>
      </c>
      <c r="CQ88">
        <v>0</v>
      </c>
      <c r="CR88">
        <v>0</v>
      </c>
    </row>
    <row r="89" spans="1:96" hidden="1" x14ac:dyDescent="0.3">
      <c r="A89">
        <v>88</v>
      </c>
      <c r="B89" t="s">
        <v>494</v>
      </c>
      <c r="C89">
        <v>16110209</v>
      </c>
      <c r="D89" t="s">
        <v>495</v>
      </c>
      <c r="E89" t="s">
        <v>496</v>
      </c>
      <c r="F89" t="s">
        <v>497</v>
      </c>
      <c r="G89" t="s">
        <v>498</v>
      </c>
      <c r="H89" s="1">
        <v>46063</v>
      </c>
      <c r="I89" t="s">
        <v>140</v>
      </c>
      <c r="J89" t="s">
        <v>102</v>
      </c>
      <c r="K89" t="s">
        <v>141</v>
      </c>
      <c r="L89">
        <v>1790000091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3</v>
      </c>
      <c r="AP89">
        <v>3</v>
      </c>
      <c r="AR89">
        <v>0</v>
      </c>
      <c r="AS89">
        <v>14</v>
      </c>
      <c r="AT89">
        <v>16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30</v>
      </c>
      <c r="CP89">
        <v>0</v>
      </c>
      <c r="CQ89">
        <v>0</v>
      </c>
      <c r="CR89">
        <v>0</v>
      </c>
    </row>
    <row r="90" spans="1:96" x14ac:dyDescent="0.3">
      <c r="A90">
        <v>89</v>
      </c>
      <c r="B90" t="s">
        <v>499</v>
      </c>
      <c r="C90">
        <v>16352344</v>
      </c>
      <c r="D90" t="s">
        <v>339</v>
      </c>
      <c r="E90" t="s">
        <v>500</v>
      </c>
      <c r="F90" t="s">
        <v>501</v>
      </c>
      <c r="G90" t="s">
        <v>233</v>
      </c>
      <c r="H90" s="1">
        <v>45839</v>
      </c>
      <c r="I90" t="s">
        <v>140</v>
      </c>
      <c r="J90" t="s">
        <v>102</v>
      </c>
      <c r="K90" t="s">
        <v>127</v>
      </c>
      <c r="L90">
        <v>1790000088</v>
      </c>
      <c r="M90">
        <v>2</v>
      </c>
      <c r="N90">
        <v>2</v>
      </c>
      <c r="O90">
        <v>8</v>
      </c>
      <c r="P90">
        <v>8</v>
      </c>
      <c r="Q90">
        <v>2</v>
      </c>
      <c r="R90">
        <v>2</v>
      </c>
      <c r="S90">
        <v>2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2</v>
      </c>
      <c r="AR90">
        <v>0</v>
      </c>
      <c r="AS90">
        <v>14</v>
      </c>
      <c r="AT90">
        <v>14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</v>
      </c>
      <c r="BA90">
        <v>30</v>
      </c>
      <c r="BM90">
        <v>2</v>
      </c>
      <c r="BN90">
        <v>170000</v>
      </c>
      <c r="BY90">
        <v>36050</v>
      </c>
      <c r="CP90">
        <v>0</v>
      </c>
      <c r="CQ90">
        <v>0</v>
      </c>
      <c r="CR90">
        <v>0</v>
      </c>
    </row>
    <row r="91" spans="1:96" hidden="1" x14ac:dyDescent="0.3">
      <c r="A91">
        <v>90</v>
      </c>
      <c r="B91" t="s">
        <v>502</v>
      </c>
      <c r="C91">
        <v>16401293</v>
      </c>
      <c r="D91" t="s">
        <v>500</v>
      </c>
      <c r="E91" t="s">
        <v>503</v>
      </c>
      <c r="F91" t="s">
        <v>504</v>
      </c>
      <c r="G91" t="s">
        <v>146</v>
      </c>
      <c r="H91" s="1">
        <v>45846</v>
      </c>
      <c r="I91" t="s">
        <v>140</v>
      </c>
      <c r="J91" t="s">
        <v>102</v>
      </c>
      <c r="K91" t="s">
        <v>190</v>
      </c>
      <c r="L91">
        <v>1790000088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3</v>
      </c>
      <c r="AI91">
        <v>3</v>
      </c>
      <c r="AJ91">
        <v>3</v>
      </c>
      <c r="AK91">
        <v>3</v>
      </c>
      <c r="AL91">
        <v>3</v>
      </c>
      <c r="AM91">
        <v>3</v>
      </c>
      <c r="AN91">
        <v>3</v>
      </c>
      <c r="AO91">
        <v>3</v>
      </c>
      <c r="AP91">
        <v>3</v>
      </c>
      <c r="AR91">
        <v>0</v>
      </c>
      <c r="AS91">
        <v>14</v>
      </c>
      <c r="AT91">
        <v>16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30</v>
      </c>
      <c r="BM91">
        <v>0</v>
      </c>
      <c r="CP91">
        <v>0</v>
      </c>
      <c r="CQ91">
        <v>0</v>
      </c>
      <c r="CR91">
        <v>0</v>
      </c>
    </row>
    <row r="92" spans="1:96" x14ac:dyDescent="0.3">
      <c r="A92">
        <v>91</v>
      </c>
      <c r="B92" t="s">
        <v>505</v>
      </c>
      <c r="C92">
        <v>16407359</v>
      </c>
      <c r="D92" t="s">
        <v>506</v>
      </c>
      <c r="E92" t="s">
        <v>507</v>
      </c>
      <c r="F92" t="s">
        <v>508</v>
      </c>
      <c r="G92" t="s">
        <v>160</v>
      </c>
      <c r="H92" s="1">
        <v>45846</v>
      </c>
      <c r="I92" t="s">
        <v>140</v>
      </c>
      <c r="J92" t="s">
        <v>102</v>
      </c>
      <c r="K92" t="s">
        <v>190</v>
      </c>
      <c r="L92">
        <v>1790000088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AR92">
        <v>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11</v>
      </c>
      <c r="BM92">
        <v>0</v>
      </c>
      <c r="BY92">
        <v>7480</v>
      </c>
      <c r="CP92">
        <v>0</v>
      </c>
      <c r="CQ92">
        <v>0</v>
      </c>
      <c r="CR92">
        <v>0</v>
      </c>
    </row>
    <row r="93" spans="1:96" hidden="1" x14ac:dyDescent="0.3">
      <c r="A93">
        <v>92</v>
      </c>
      <c r="B93" t="s">
        <v>509</v>
      </c>
      <c r="C93">
        <v>16443686</v>
      </c>
      <c r="D93" t="s">
        <v>510</v>
      </c>
      <c r="E93" t="s">
        <v>511</v>
      </c>
      <c r="F93" t="s">
        <v>512</v>
      </c>
      <c r="G93" t="s">
        <v>513</v>
      </c>
      <c r="H93" s="1">
        <v>46054</v>
      </c>
      <c r="I93" t="s">
        <v>101</v>
      </c>
      <c r="J93" t="s">
        <v>102</v>
      </c>
      <c r="K93" t="s">
        <v>141</v>
      </c>
      <c r="L93">
        <v>1790000091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3</v>
      </c>
      <c r="AG93">
        <v>3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3</v>
      </c>
      <c r="AP93">
        <v>3</v>
      </c>
      <c r="AR93">
        <v>0</v>
      </c>
      <c r="AS93">
        <v>14</v>
      </c>
      <c r="AT93">
        <v>16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30</v>
      </c>
      <c r="CP93">
        <v>0</v>
      </c>
      <c r="CQ93">
        <v>0</v>
      </c>
      <c r="CR93">
        <v>0</v>
      </c>
    </row>
    <row r="94" spans="1:96" hidden="1" x14ac:dyDescent="0.3">
      <c r="A94">
        <v>93</v>
      </c>
      <c r="B94" t="s">
        <v>514</v>
      </c>
      <c r="C94">
        <v>16481993</v>
      </c>
      <c r="D94" t="s">
        <v>515</v>
      </c>
      <c r="E94" t="s">
        <v>516</v>
      </c>
      <c r="F94" t="s">
        <v>517</v>
      </c>
      <c r="G94" t="s">
        <v>308</v>
      </c>
      <c r="H94" s="1"/>
      <c r="I94" t="s">
        <v>140</v>
      </c>
      <c r="J94" t="s">
        <v>253</v>
      </c>
      <c r="K94" t="s">
        <v>103</v>
      </c>
      <c r="L94">
        <v>1740000002</v>
      </c>
      <c r="M94">
        <v>1</v>
      </c>
      <c r="N94">
        <v>1</v>
      </c>
      <c r="O94">
        <v>3</v>
      </c>
      <c r="P94">
        <v>3</v>
      </c>
      <c r="Q94">
        <v>3</v>
      </c>
      <c r="R94">
        <v>1</v>
      </c>
      <c r="S94">
        <v>1</v>
      </c>
      <c r="T94">
        <v>1</v>
      </c>
      <c r="U94">
        <v>1</v>
      </c>
      <c r="V94">
        <v>1</v>
      </c>
      <c r="W94">
        <v>3</v>
      </c>
      <c r="X94">
        <v>3</v>
      </c>
      <c r="Y94">
        <v>1</v>
      </c>
      <c r="Z94">
        <v>1</v>
      </c>
      <c r="AA94">
        <v>1</v>
      </c>
      <c r="AB94">
        <v>1</v>
      </c>
      <c r="AC94">
        <v>1</v>
      </c>
      <c r="AD94">
        <v>3</v>
      </c>
      <c r="AE94">
        <v>3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3</v>
      </c>
      <c r="AL94">
        <v>3</v>
      </c>
      <c r="AM94">
        <v>1</v>
      </c>
      <c r="AN94">
        <v>1</v>
      </c>
      <c r="AO94">
        <v>1</v>
      </c>
      <c r="AP94">
        <v>1</v>
      </c>
      <c r="AR94">
        <v>21</v>
      </c>
      <c r="AS94">
        <v>0</v>
      </c>
      <c r="AT94">
        <v>9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30</v>
      </c>
      <c r="CC94">
        <v>1200000</v>
      </c>
      <c r="CP94">
        <v>0</v>
      </c>
      <c r="CQ94">
        <v>0</v>
      </c>
      <c r="CR94">
        <v>0</v>
      </c>
    </row>
    <row r="95" spans="1:96" hidden="1" x14ac:dyDescent="0.3">
      <c r="A95">
        <v>94</v>
      </c>
      <c r="B95" t="s">
        <v>518</v>
      </c>
      <c r="C95">
        <v>16518571</v>
      </c>
      <c r="D95" t="s">
        <v>241</v>
      </c>
      <c r="E95" t="s">
        <v>491</v>
      </c>
      <c r="F95" t="s">
        <v>519</v>
      </c>
      <c r="G95" t="s">
        <v>419</v>
      </c>
      <c r="H95" s="1">
        <v>46054</v>
      </c>
      <c r="I95" t="s">
        <v>140</v>
      </c>
      <c r="J95" t="s">
        <v>102</v>
      </c>
      <c r="K95" t="s">
        <v>147</v>
      </c>
      <c r="L95">
        <v>1790000090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3</v>
      </c>
      <c r="AI95">
        <v>3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3</v>
      </c>
      <c r="AR95">
        <v>0</v>
      </c>
      <c r="AS95">
        <v>14</v>
      </c>
      <c r="AT95">
        <v>16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30</v>
      </c>
      <c r="BC95">
        <v>235333</v>
      </c>
      <c r="BD95" t="s">
        <v>148</v>
      </c>
      <c r="BP95">
        <v>75000</v>
      </c>
      <c r="CI95">
        <v>473333</v>
      </c>
      <c r="CP95">
        <v>0</v>
      </c>
      <c r="CQ95">
        <v>0</v>
      </c>
      <c r="CR95">
        <v>0</v>
      </c>
    </row>
    <row r="96" spans="1:96" x14ac:dyDescent="0.3">
      <c r="A96">
        <v>95</v>
      </c>
      <c r="B96" t="s">
        <v>520</v>
      </c>
      <c r="C96">
        <v>16538795</v>
      </c>
      <c r="D96" t="s">
        <v>521</v>
      </c>
      <c r="E96" t="s">
        <v>522</v>
      </c>
      <c r="F96" t="s">
        <v>523</v>
      </c>
      <c r="G96" t="s">
        <v>189</v>
      </c>
      <c r="H96" s="1">
        <v>45992</v>
      </c>
      <c r="I96" t="s">
        <v>140</v>
      </c>
      <c r="J96" t="s">
        <v>102</v>
      </c>
      <c r="K96" t="s">
        <v>208</v>
      </c>
      <c r="L96">
        <v>1790000090</v>
      </c>
      <c r="M96">
        <v>2</v>
      </c>
      <c r="N96">
        <v>2</v>
      </c>
      <c r="O96">
        <v>8</v>
      </c>
      <c r="P96">
        <v>8</v>
      </c>
      <c r="Q96">
        <v>2</v>
      </c>
      <c r="R96">
        <v>2</v>
      </c>
      <c r="S96">
        <v>2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R96">
        <v>0</v>
      </c>
      <c r="AS96">
        <v>14</v>
      </c>
      <c r="AT96">
        <v>14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0</v>
      </c>
      <c r="BA96">
        <v>30</v>
      </c>
      <c r="BM96">
        <v>2</v>
      </c>
      <c r="BN96">
        <v>320000</v>
      </c>
      <c r="BP96">
        <v>75000</v>
      </c>
      <c r="BY96">
        <v>56000</v>
      </c>
      <c r="CI96">
        <v>473333</v>
      </c>
      <c r="CP96">
        <v>0</v>
      </c>
      <c r="CQ96">
        <v>0</v>
      </c>
      <c r="CR96">
        <v>0</v>
      </c>
    </row>
    <row r="97" spans="1:96" hidden="1" x14ac:dyDescent="0.3">
      <c r="A97">
        <v>96</v>
      </c>
      <c r="B97" t="s">
        <v>524</v>
      </c>
      <c r="C97">
        <v>16687732</v>
      </c>
      <c r="D97" t="s">
        <v>150</v>
      </c>
      <c r="E97" t="s">
        <v>525</v>
      </c>
      <c r="F97" t="s">
        <v>526</v>
      </c>
      <c r="G97" t="s">
        <v>233</v>
      </c>
      <c r="H97" s="1">
        <v>46041</v>
      </c>
      <c r="I97" t="s">
        <v>140</v>
      </c>
      <c r="J97" t="s">
        <v>102</v>
      </c>
      <c r="K97" t="s">
        <v>147</v>
      </c>
      <c r="L97">
        <v>1790000090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3</v>
      </c>
      <c r="AN97">
        <v>3</v>
      </c>
      <c r="AO97">
        <v>3</v>
      </c>
      <c r="AP97">
        <v>3</v>
      </c>
      <c r="AR97">
        <v>0</v>
      </c>
      <c r="AS97">
        <v>14</v>
      </c>
      <c r="AT97">
        <v>16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30</v>
      </c>
      <c r="BC97">
        <v>150000</v>
      </c>
      <c r="BD97" t="s">
        <v>148</v>
      </c>
      <c r="BP97">
        <v>75000</v>
      </c>
      <c r="CI97">
        <v>473333</v>
      </c>
      <c r="CP97">
        <v>0</v>
      </c>
      <c r="CQ97">
        <v>0</v>
      </c>
      <c r="CR97">
        <v>0</v>
      </c>
    </row>
    <row r="98" spans="1:96" hidden="1" x14ac:dyDescent="0.3">
      <c r="A98">
        <v>97</v>
      </c>
      <c r="B98" t="s">
        <v>527</v>
      </c>
      <c r="C98">
        <v>16911975</v>
      </c>
      <c r="D98" t="s">
        <v>132</v>
      </c>
      <c r="E98" t="s">
        <v>528</v>
      </c>
      <c r="F98" t="s">
        <v>529</v>
      </c>
      <c r="G98" t="s">
        <v>530</v>
      </c>
      <c r="H98" s="1"/>
      <c r="I98" t="s">
        <v>101</v>
      </c>
      <c r="J98" t="s">
        <v>253</v>
      </c>
      <c r="K98" t="s">
        <v>103</v>
      </c>
      <c r="L98">
        <v>1720000002</v>
      </c>
      <c r="M98">
        <v>1</v>
      </c>
      <c r="N98">
        <v>1</v>
      </c>
      <c r="O98">
        <v>3</v>
      </c>
      <c r="P98">
        <v>3</v>
      </c>
      <c r="Q98">
        <v>3</v>
      </c>
      <c r="R98">
        <v>1</v>
      </c>
      <c r="S98">
        <v>1</v>
      </c>
      <c r="T98">
        <v>1</v>
      </c>
      <c r="U98">
        <v>1</v>
      </c>
      <c r="V98">
        <v>1</v>
      </c>
      <c r="W98">
        <v>3</v>
      </c>
      <c r="X98">
        <v>3</v>
      </c>
      <c r="Y98">
        <v>1</v>
      </c>
      <c r="Z98">
        <v>1</v>
      </c>
      <c r="AA98">
        <v>1</v>
      </c>
      <c r="AB98">
        <v>1</v>
      </c>
      <c r="AC98">
        <v>1</v>
      </c>
      <c r="AD98">
        <v>3</v>
      </c>
      <c r="AE98">
        <v>3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3</v>
      </c>
      <c r="AL98">
        <v>3</v>
      </c>
      <c r="AM98">
        <v>1</v>
      </c>
      <c r="AN98">
        <v>1</v>
      </c>
      <c r="AO98">
        <v>1</v>
      </c>
      <c r="AP98">
        <v>1</v>
      </c>
      <c r="AR98">
        <v>21</v>
      </c>
      <c r="AS98">
        <v>0</v>
      </c>
      <c r="AT98">
        <v>9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30</v>
      </c>
      <c r="CO98">
        <f>VLOOKUP(C98,'LOS HEROES'!$A$2:$D$30,4,0)</f>
        <v>323598</v>
      </c>
      <c r="CP98">
        <v>0</v>
      </c>
      <c r="CQ98">
        <f>VLOOKUP(C98,SEGURO!$A$2:$C$28,3,0)</f>
        <v>46667</v>
      </c>
      <c r="CR98">
        <v>0</v>
      </c>
    </row>
    <row r="99" spans="1:96" hidden="1" x14ac:dyDescent="0.3">
      <c r="A99">
        <v>98</v>
      </c>
      <c r="B99" t="s">
        <v>531</v>
      </c>
      <c r="C99">
        <v>16971879</v>
      </c>
      <c r="D99" t="s">
        <v>532</v>
      </c>
      <c r="E99" t="s">
        <v>533</v>
      </c>
      <c r="F99" t="s">
        <v>534</v>
      </c>
      <c r="G99" t="s">
        <v>535</v>
      </c>
      <c r="H99" s="1">
        <v>45880</v>
      </c>
      <c r="I99" t="s">
        <v>140</v>
      </c>
      <c r="J99" t="s">
        <v>102</v>
      </c>
      <c r="K99" t="s">
        <v>190</v>
      </c>
      <c r="L99">
        <v>1790000088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R99">
        <v>0</v>
      </c>
      <c r="AS99">
        <v>14</v>
      </c>
      <c r="AT99">
        <v>16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30</v>
      </c>
      <c r="BE99">
        <v>250000</v>
      </c>
      <c r="BF99" t="s">
        <v>536</v>
      </c>
      <c r="BM99">
        <v>0</v>
      </c>
      <c r="CP99">
        <v>0</v>
      </c>
      <c r="CQ99">
        <v>0</v>
      </c>
      <c r="CR99">
        <v>0</v>
      </c>
    </row>
    <row r="100" spans="1:96" hidden="1" x14ac:dyDescent="0.3">
      <c r="A100">
        <v>99</v>
      </c>
      <c r="B100" t="s">
        <v>537</v>
      </c>
      <c r="C100">
        <v>17003626</v>
      </c>
      <c r="D100" t="s">
        <v>538</v>
      </c>
      <c r="E100" t="s">
        <v>538</v>
      </c>
      <c r="F100" t="s">
        <v>539</v>
      </c>
      <c r="G100" t="s">
        <v>312</v>
      </c>
      <c r="H100" s="1">
        <v>45839</v>
      </c>
      <c r="I100" t="s">
        <v>140</v>
      </c>
      <c r="J100" t="s">
        <v>102</v>
      </c>
      <c r="K100" t="s">
        <v>127</v>
      </c>
      <c r="L100">
        <v>1790000088</v>
      </c>
      <c r="M100">
        <v>2</v>
      </c>
      <c r="N100">
        <v>2</v>
      </c>
      <c r="O100">
        <v>8</v>
      </c>
      <c r="P100">
        <v>8</v>
      </c>
      <c r="Q100">
        <v>2</v>
      </c>
      <c r="R100">
        <v>2</v>
      </c>
      <c r="S100">
        <v>2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2</v>
      </c>
      <c r="AI100">
        <v>2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2</v>
      </c>
      <c r="AR100">
        <v>0</v>
      </c>
      <c r="AS100">
        <v>14</v>
      </c>
      <c r="AT100">
        <v>14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30</v>
      </c>
      <c r="BM100">
        <v>2</v>
      </c>
      <c r="BN100">
        <v>262998</v>
      </c>
      <c r="CP100">
        <v>0</v>
      </c>
      <c r="CQ100">
        <v>0</v>
      </c>
      <c r="CR100">
        <v>0</v>
      </c>
    </row>
    <row r="101" spans="1:96" hidden="1" x14ac:dyDescent="0.3">
      <c r="A101">
        <v>100</v>
      </c>
      <c r="B101" t="s">
        <v>540</v>
      </c>
      <c r="C101">
        <v>17028472</v>
      </c>
      <c r="D101" t="s">
        <v>541</v>
      </c>
      <c r="E101" t="s">
        <v>542</v>
      </c>
      <c r="F101" t="s">
        <v>337</v>
      </c>
      <c r="G101" t="s">
        <v>543</v>
      </c>
      <c r="H101" s="1">
        <v>45820</v>
      </c>
      <c r="I101" t="s">
        <v>140</v>
      </c>
      <c r="J101" t="s">
        <v>102</v>
      </c>
      <c r="K101" t="s">
        <v>109</v>
      </c>
      <c r="L101">
        <v>1790000088</v>
      </c>
      <c r="M101">
        <v>1</v>
      </c>
      <c r="N101">
        <v>1</v>
      </c>
      <c r="O101">
        <v>3</v>
      </c>
      <c r="P101">
        <v>3</v>
      </c>
      <c r="Q101">
        <v>3</v>
      </c>
      <c r="R101">
        <v>1</v>
      </c>
      <c r="S101">
        <v>1</v>
      </c>
      <c r="T101">
        <v>1</v>
      </c>
      <c r="U101">
        <v>1</v>
      </c>
      <c r="V101">
        <v>3</v>
      </c>
      <c r="W101">
        <v>3</v>
      </c>
      <c r="X101">
        <v>3</v>
      </c>
      <c r="Y101">
        <v>1</v>
      </c>
      <c r="Z101">
        <v>1</v>
      </c>
      <c r="AA101">
        <v>1</v>
      </c>
      <c r="AB101">
        <v>1</v>
      </c>
      <c r="AC101">
        <v>3</v>
      </c>
      <c r="AD101">
        <v>3</v>
      </c>
      <c r="AE101">
        <v>3</v>
      </c>
      <c r="AF101">
        <v>1</v>
      </c>
      <c r="AG101">
        <v>1</v>
      </c>
      <c r="AH101">
        <v>1</v>
      </c>
      <c r="AI101">
        <v>1</v>
      </c>
      <c r="AJ101">
        <v>3</v>
      </c>
      <c r="AK101">
        <v>3</v>
      </c>
      <c r="AL101">
        <v>3</v>
      </c>
      <c r="AM101">
        <v>1</v>
      </c>
      <c r="AN101">
        <v>1</v>
      </c>
      <c r="AO101">
        <v>1</v>
      </c>
      <c r="AP101">
        <v>1</v>
      </c>
      <c r="AR101">
        <v>18</v>
      </c>
      <c r="AS101">
        <v>0</v>
      </c>
      <c r="AT101">
        <v>12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30</v>
      </c>
      <c r="BM101">
        <v>0</v>
      </c>
      <c r="CP101">
        <v>0</v>
      </c>
      <c r="CQ101">
        <v>0</v>
      </c>
      <c r="CR101">
        <v>0</v>
      </c>
    </row>
    <row r="102" spans="1:96" x14ac:dyDescent="0.3">
      <c r="A102">
        <v>101</v>
      </c>
      <c r="B102" t="s">
        <v>544</v>
      </c>
      <c r="C102">
        <v>17112456</v>
      </c>
      <c r="D102" t="s">
        <v>230</v>
      </c>
      <c r="E102" t="s">
        <v>545</v>
      </c>
      <c r="F102" t="s">
        <v>546</v>
      </c>
      <c r="G102" t="s">
        <v>356</v>
      </c>
      <c r="H102" s="1">
        <v>46096</v>
      </c>
      <c r="I102" t="s">
        <v>140</v>
      </c>
      <c r="J102" t="s">
        <v>102</v>
      </c>
      <c r="K102" t="s">
        <v>141</v>
      </c>
      <c r="L102">
        <v>1790000091</v>
      </c>
      <c r="M102">
        <v>3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3</v>
      </c>
      <c r="AH102">
        <v>2</v>
      </c>
      <c r="AI102">
        <v>2</v>
      </c>
      <c r="AJ102">
        <v>2</v>
      </c>
      <c r="AK102">
        <v>2</v>
      </c>
      <c r="AL102">
        <v>2</v>
      </c>
      <c r="AM102">
        <v>2</v>
      </c>
      <c r="AN102">
        <v>2</v>
      </c>
      <c r="AO102">
        <v>3</v>
      </c>
      <c r="AP102">
        <v>3</v>
      </c>
      <c r="AR102">
        <v>0</v>
      </c>
      <c r="AS102">
        <v>14</v>
      </c>
      <c r="AT102">
        <v>16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30</v>
      </c>
      <c r="BY102">
        <v>60000</v>
      </c>
      <c r="CP102">
        <v>0</v>
      </c>
      <c r="CQ102">
        <v>0</v>
      </c>
      <c r="CR102">
        <v>0</v>
      </c>
    </row>
    <row r="103" spans="1:96" hidden="1" x14ac:dyDescent="0.3">
      <c r="A103">
        <v>102</v>
      </c>
      <c r="B103" t="s">
        <v>547</v>
      </c>
      <c r="C103">
        <v>17119888</v>
      </c>
      <c r="D103" t="s">
        <v>548</v>
      </c>
      <c r="E103" t="s">
        <v>549</v>
      </c>
      <c r="F103" t="s">
        <v>550</v>
      </c>
      <c r="G103" t="s">
        <v>551</v>
      </c>
      <c r="H103" s="1"/>
      <c r="I103" t="s">
        <v>101</v>
      </c>
      <c r="J103" t="s">
        <v>253</v>
      </c>
      <c r="K103" t="s">
        <v>103</v>
      </c>
      <c r="L103">
        <v>1740000001</v>
      </c>
      <c r="M103">
        <v>1</v>
      </c>
      <c r="N103">
        <v>1</v>
      </c>
      <c r="O103">
        <v>3</v>
      </c>
      <c r="P103">
        <v>3</v>
      </c>
      <c r="Q103">
        <v>3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3</v>
      </c>
      <c r="X103">
        <v>3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3</v>
      </c>
      <c r="AE103">
        <v>3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3</v>
      </c>
      <c r="AL103">
        <v>3</v>
      </c>
      <c r="AM103">
        <v>1</v>
      </c>
      <c r="AN103">
        <v>1</v>
      </c>
      <c r="AO103">
        <v>1</v>
      </c>
      <c r="AP103">
        <v>1</v>
      </c>
      <c r="AR103">
        <v>21</v>
      </c>
      <c r="AS103">
        <v>0</v>
      </c>
      <c r="AT103">
        <v>9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30</v>
      </c>
      <c r="CP103">
        <v>0</v>
      </c>
      <c r="CQ103">
        <f>VLOOKUP(C103,SEGURO!$A$2:$C$28,3,0)</f>
        <v>46667</v>
      </c>
      <c r="CR103">
        <f>VLOOKUP(C103,FALP!$A$2:$C$13,3,0)</f>
        <v>17600</v>
      </c>
    </row>
    <row r="104" spans="1:96" hidden="1" x14ac:dyDescent="0.3">
      <c r="A104">
        <v>103</v>
      </c>
      <c r="B104" t="s">
        <v>552</v>
      </c>
      <c r="C104">
        <v>17131650</v>
      </c>
      <c r="D104" t="s">
        <v>553</v>
      </c>
      <c r="E104" t="s">
        <v>554</v>
      </c>
      <c r="F104" t="s">
        <v>555</v>
      </c>
      <c r="G104" t="s">
        <v>139</v>
      </c>
      <c r="H104" s="1">
        <v>46068</v>
      </c>
      <c r="I104" t="s">
        <v>140</v>
      </c>
      <c r="J104" t="s">
        <v>102</v>
      </c>
      <c r="K104" t="s">
        <v>141</v>
      </c>
      <c r="L104">
        <v>1790000091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2</v>
      </c>
      <c r="AI104">
        <v>2</v>
      </c>
      <c r="AJ104">
        <v>2</v>
      </c>
      <c r="AK104">
        <v>2</v>
      </c>
      <c r="AL104">
        <v>2</v>
      </c>
      <c r="AM104">
        <v>2</v>
      </c>
      <c r="AN104">
        <v>2</v>
      </c>
      <c r="AO104">
        <v>3</v>
      </c>
      <c r="AP104">
        <v>3</v>
      </c>
      <c r="AR104">
        <v>0</v>
      </c>
      <c r="AS104">
        <v>14</v>
      </c>
      <c r="AT104">
        <v>16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30</v>
      </c>
      <c r="CP104">
        <v>0</v>
      </c>
      <c r="CQ104">
        <v>0</v>
      </c>
      <c r="CR104">
        <v>0</v>
      </c>
    </row>
    <row r="105" spans="1:96" hidden="1" x14ac:dyDescent="0.3">
      <c r="A105">
        <v>104</v>
      </c>
      <c r="B105" t="s">
        <v>556</v>
      </c>
      <c r="C105">
        <v>17164817</v>
      </c>
      <c r="D105" t="s">
        <v>262</v>
      </c>
      <c r="E105" t="s">
        <v>557</v>
      </c>
      <c r="F105" t="s">
        <v>558</v>
      </c>
      <c r="G105" t="s">
        <v>559</v>
      </c>
      <c r="H105" s="1"/>
      <c r="I105" t="s">
        <v>101</v>
      </c>
      <c r="J105" t="s">
        <v>253</v>
      </c>
      <c r="K105" t="s">
        <v>103</v>
      </c>
      <c r="L105">
        <v>1740000001</v>
      </c>
      <c r="M105">
        <v>1</v>
      </c>
      <c r="N105">
        <v>1</v>
      </c>
      <c r="O105">
        <v>3</v>
      </c>
      <c r="P105">
        <v>3</v>
      </c>
      <c r="Q105">
        <v>3</v>
      </c>
      <c r="R105">
        <v>1</v>
      </c>
      <c r="S105">
        <v>1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1</v>
      </c>
      <c r="AJ105">
        <v>1</v>
      </c>
      <c r="AK105">
        <v>3</v>
      </c>
      <c r="AL105">
        <v>3</v>
      </c>
      <c r="AM105">
        <v>1</v>
      </c>
      <c r="AN105">
        <v>1</v>
      </c>
      <c r="AO105">
        <v>1</v>
      </c>
      <c r="AP105">
        <v>1</v>
      </c>
      <c r="AR105">
        <v>10</v>
      </c>
      <c r="AS105">
        <v>0</v>
      </c>
      <c r="AT105">
        <v>5</v>
      </c>
      <c r="AU105">
        <v>15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15</v>
      </c>
      <c r="CO105">
        <f>VLOOKUP(C105,'LOS HEROES'!$A$2:$D$30,4,0)</f>
        <v>445677</v>
      </c>
      <c r="CP105">
        <v>0</v>
      </c>
      <c r="CQ105">
        <f>VLOOKUP(C105,SEGURO!$A$2:$C$28,3,0)</f>
        <v>32725</v>
      </c>
      <c r="CR105">
        <f>VLOOKUP(C105,FALP!$A$2:$C$13,3,0)</f>
        <v>8800</v>
      </c>
    </row>
    <row r="106" spans="1:96" hidden="1" x14ac:dyDescent="0.3">
      <c r="A106">
        <v>105</v>
      </c>
      <c r="B106" t="s">
        <v>560</v>
      </c>
      <c r="C106">
        <v>17175261</v>
      </c>
      <c r="D106" t="s">
        <v>204</v>
      </c>
      <c r="E106" t="s">
        <v>225</v>
      </c>
      <c r="F106" t="s">
        <v>561</v>
      </c>
      <c r="G106" t="s">
        <v>312</v>
      </c>
      <c r="H106" s="1">
        <v>46054</v>
      </c>
      <c r="I106" t="s">
        <v>140</v>
      </c>
      <c r="J106" t="s">
        <v>102</v>
      </c>
      <c r="K106" t="s">
        <v>243</v>
      </c>
      <c r="L106">
        <v>1790000090</v>
      </c>
      <c r="M106">
        <v>2</v>
      </c>
      <c r="N106">
        <v>2</v>
      </c>
      <c r="O106">
        <v>8</v>
      </c>
      <c r="P106">
        <v>8</v>
      </c>
      <c r="Q106">
        <v>2</v>
      </c>
      <c r="R106">
        <v>2</v>
      </c>
      <c r="S106">
        <v>2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2</v>
      </c>
      <c r="AR106">
        <v>0</v>
      </c>
      <c r="AS106">
        <v>14</v>
      </c>
      <c r="AT106">
        <v>14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</v>
      </c>
      <c r="BA106">
        <v>30</v>
      </c>
      <c r="BM106">
        <v>2</v>
      </c>
      <c r="BN106">
        <v>282400</v>
      </c>
      <c r="BP106">
        <v>75000</v>
      </c>
      <c r="CI106">
        <v>473333</v>
      </c>
      <c r="CK106">
        <v>1270799</v>
      </c>
      <c r="CL106">
        <v>100000</v>
      </c>
      <c r="CP106">
        <v>0</v>
      </c>
      <c r="CQ106">
        <v>0</v>
      </c>
      <c r="CR106">
        <v>0</v>
      </c>
    </row>
    <row r="107" spans="1:96" hidden="1" x14ac:dyDescent="0.3">
      <c r="A107">
        <v>106</v>
      </c>
      <c r="B107" t="s">
        <v>562</v>
      </c>
      <c r="C107">
        <v>17193572</v>
      </c>
      <c r="D107" t="s">
        <v>150</v>
      </c>
      <c r="E107" t="s">
        <v>150</v>
      </c>
      <c r="F107" t="s">
        <v>563</v>
      </c>
      <c r="G107" t="s">
        <v>564</v>
      </c>
      <c r="H107" s="1">
        <v>46047</v>
      </c>
      <c r="I107" t="s">
        <v>101</v>
      </c>
      <c r="J107" t="s">
        <v>253</v>
      </c>
      <c r="K107" t="s">
        <v>190</v>
      </c>
      <c r="L107">
        <v>1790000088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3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3</v>
      </c>
      <c r="AO107">
        <v>3</v>
      </c>
      <c r="AP107">
        <v>3</v>
      </c>
      <c r="AR107">
        <v>0</v>
      </c>
      <c r="AS107">
        <v>14</v>
      </c>
      <c r="AT107">
        <v>16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30</v>
      </c>
      <c r="BM107">
        <v>0</v>
      </c>
      <c r="CP107">
        <v>0</v>
      </c>
      <c r="CQ107">
        <v>0</v>
      </c>
      <c r="CR107">
        <v>0</v>
      </c>
    </row>
    <row r="108" spans="1:96" x14ac:dyDescent="0.3">
      <c r="A108">
        <v>107</v>
      </c>
      <c r="B108" t="s">
        <v>565</v>
      </c>
      <c r="C108">
        <v>17296868</v>
      </c>
      <c r="D108" t="s">
        <v>566</v>
      </c>
      <c r="E108" t="s">
        <v>567</v>
      </c>
      <c r="F108" t="s">
        <v>568</v>
      </c>
      <c r="G108" t="s">
        <v>569</v>
      </c>
      <c r="H108" s="1">
        <v>45992</v>
      </c>
      <c r="I108" t="s">
        <v>140</v>
      </c>
      <c r="J108" t="s">
        <v>102</v>
      </c>
      <c r="K108" t="s">
        <v>272</v>
      </c>
      <c r="L108">
        <v>1790000090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3</v>
      </c>
      <c r="AN108">
        <v>3</v>
      </c>
      <c r="AO108">
        <v>3</v>
      </c>
      <c r="AP108">
        <v>3</v>
      </c>
      <c r="AR108">
        <v>0</v>
      </c>
      <c r="AS108">
        <v>7</v>
      </c>
      <c r="AT108">
        <v>23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30</v>
      </c>
      <c r="BP108">
        <v>75000</v>
      </c>
      <c r="BY108">
        <v>21000</v>
      </c>
      <c r="CI108">
        <v>315555</v>
      </c>
      <c r="CP108">
        <v>0</v>
      </c>
      <c r="CQ108">
        <v>0</v>
      </c>
      <c r="CR108">
        <v>0</v>
      </c>
    </row>
    <row r="109" spans="1:96" hidden="1" x14ac:dyDescent="0.3">
      <c r="A109">
        <v>108</v>
      </c>
      <c r="B109" t="s">
        <v>570</v>
      </c>
      <c r="C109">
        <v>17331556</v>
      </c>
      <c r="D109" t="s">
        <v>571</v>
      </c>
      <c r="E109" t="s">
        <v>572</v>
      </c>
      <c r="F109" t="s">
        <v>573</v>
      </c>
      <c r="G109" t="s">
        <v>153</v>
      </c>
      <c r="H109" s="1">
        <v>45798</v>
      </c>
      <c r="I109" t="s">
        <v>101</v>
      </c>
      <c r="J109" t="s">
        <v>102</v>
      </c>
      <c r="K109" t="s">
        <v>190</v>
      </c>
      <c r="L109">
        <v>1790000088</v>
      </c>
      <c r="M109">
        <v>3</v>
      </c>
      <c r="N109">
        <v>3</v>
      </c>
      <c r="O109">
        <v>3</v>
      </c>
      <c r="P109">
        <v>3</v>
      </c>
      <c r="Q109">
        <v>3</v>
      </c>
      <c r="R109">
        <v>3</v>
      </c>
      <c r="S109">
        <v>1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3</v>
      </c>
      <c r="AI109">
        <v>3</v>
      </c>
      <c r="AJ109">
        <v>3</v>
      </c>
      <c r="AK109">
        <v>3</v>
      </c>
      <c r="AL109">
        <v>3</v>
      </c>
      <c r="AM109">
        <v>3</v>
      </c>
      <c r="AN109">
        <v>3</v>
      </c>
      <c r="AO109">
        <v>3</v>
      </c>
      <c r="AP109">
        <v>3</v>
      </c>
      <c r="AR109">
        <v>1</v>
      </c>
      <c r="AS109">
        <v>14</v>
      </c>
      <c r="AT109">
        <v>15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30</v>
      </c>
      <c r="BM109">
        <v>0</v>
      </c>
      <c r="CP109">
        <v>0</v>
      </c>
      <c r="CQ109">
        <v>0</v>
      </c>
      <c r="CR109">
        <v>0</v>
      </c>
    </row>
    <row r="110" spans="1:96" hidden="1" x14ac:dyDescent="0.3">
      <c r="A110">
        <v>109</v>
      </c>
      <c r="B110" t="s">
        <v>574</v>
      </c>
      <c r="C110">
        <v>17362561</v>
      </c>
      <c r="D110" t="s">
        <v>296</v>
      </c>
      <c r="E110" t="s">
        <v>364</v>
      </c>
      <c r="F110" t="s">
        <v>575</v>
      </c>
      <c r="G110" t="s">
        <v>576</v>
      </c>
      <c r="H110" s="1">
        <v>45992</v>
      </c>
      <c r="I110" t="s">
        <v>140</v>
      </c>
      <c r="J110" t="s">
        <v>102</v>
      </c>
      <c r="K110" t="s">
        <v>208</v>
      </c>
      <c r="L110">
        <v>1790000090</v>
      </c>
      <c r="M110">
        <v>2</v>
      </c>
      <c r="N110">
        <v>2</v>
      </c>
      <c r="O110">
        <v>8</v>
      </c>
      <c r="P110">
        <v>8</v>
      </c>
      <c r="Q110">
        <v>2</v>
      </c>
      <c r="R110">
        <v>2</v>
      </c>
      <c r="S110">
        <v>2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2</v>
      </c>
      <c r="AI110">
        <v>2</v>
      </c>
      <c r="AJ110">
        <v>2</v>
      </c>
      <c r="AK110">
        <v>2</v>
      </c>
      <c r="AL110">
        <v>2</v>
      </c>
      <c r="AM110">
        <v>2</v>
      </c>
      <c r="AN110">
        <v>2</v>
      </c>
      <c r="AO110">
        <v>2</v>
      </c>
      <c r="AP110">
        <v>2</v>
      </c>
      <c r="AR110">
        <v>0</v>
      </c>
      <c r="AS110">
        <v>14</v>
      </c>
      <c r="AT110">
        <v>14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</v>
      </c>
      <c r="BA110">
        <v>30</v>
      </c>
      <c r="BE110">
        <v>62500.000000000007</v>
      </c>
      <c r="BF110" t="s">
        <v>577</v>
      </c>
      <c r="BM110">
        <v>2</v>
      </c>
      <c r="BN110">
        <v>169500</v>
      </c>
      <c r="BP110">
        <v>75000</v>
      </c>
      <c r="CI110">
        <v>473333</v>
      </c>
      <c r="CP110">
        <v>0</v>
      </c>
      <c r="CQ110">
        <v>0</v>
      </c>
      <c r="CR110">
        <v>0</v>
      </c>
    </row>
    <row r="111" spans="1:96" hidden="1" x14ac:dyDescent="0.3">
      <c r="A111">
        <v>110</v>
      </c>
      <c r="B111" t="s">
        <v>578</v>
      </c>
      <c r="C111">
        <v>17363318</v>
      </c>
      <c r="D111" t="s">
        <v>259</v>
      </c>
      <c r="E111" t="s">
        <v>579</v>
      </c>
      <c r="F111" t="s">
        <v>580</v>
      </c>
      <c r="G111" t="s">
        <v>419</v>
      </c>
      <c r="H111" s="1">
        <v>46054</v>
      </c>
      <c r="I111" t="s">
        <v>140</v>
      </c>
      <c r="J111" t="s">
        <v>102</v>
      </c>
      <c r="K111" t="s">
        <v>141</v>
      </c>
      <c r="L111">
        <v>1790000091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2</v>
      </c>
      <c r="AI111">
        <v>2</v>
      </c>
      <c r="AJ111">
        <v>2</v>
      </c>
      <c r="AK111">
        <v>2</v>
      </c>
      <c r="AL111">
        <v>2</v>
      </c>
      <c r="AM111">
        <v>2</v>
      </c>
      <c r="AN111">
        <v>2</v>
      </c>
      <c r="AO111">
        <v>3</v>
      </c>
      <c r="AP111">
        <v>3</v>
      </c>
      <c r="AR111">
        <v>0</v>
      </c>
      <c r="AS111">
        <v>14</v>
      </c>
      <c r="AT111">
        <v>16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30</v>
      </c>
      <c r="CP111">
        <v>0</v>
      </c>
      <c r="CQ111">
        <v>0</v>
      </c>
      <c r="CR111">
        <v>0</v>
      </c>
    </row>
    <row r="112" spans="1:96" hidden="1" x14ac:dyDescent="0.3">
      <c r="A112">
        <v>111</v>
      </c>
      <c r="B112" t="s">
        <v>581</v>
      </c>
      <c r="C112">
        <v>17364721</v>
      </c>
      <c r="D112" t="s">
        <v>230</v>
      </c>
      <c r="E112" t="s">
        <v>582</v>
      </c>
      <c r="F112" t="s">
        <v>583</v>
      </c>
      <c r="G112" t="s">
        <v>312</v>
      </c>
      <c r="H112" s="1">
        <v>46003</v>
      </c>
      <c r="I112" t="s">
        <v>140</v>
      </c>
      <c r="J112" t="s">
        <v>102</v>
      </c>
      <c r="K112" t="s">
        <v>147</v>
      </c>
      <c r="L112">
        <v>1790000090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3</v>
      </c>
      <c r="AI112">
        <v>3</v>
      </c>
      <c r="AJ112">
        <v>3</v>
      </c>
      <c r="AK112">
        <v>3</v>
      </c>
      <c r="AL112">
        <v>3</v>
      </c>
      <c r="AM112">
        <v>3</v>
      </c>
      <c r="AN112">
        <v>3</v>
      </c>
      <c r="AO112">
        <v>3</v>
      </c>
      <c r="AP112">
        <v>3</v>
      </c>
      <c r="AR112">
        <v>0</v>
      </c>
      <c r="AS112">
        <v>14</v>
      </c>
      <c r="AT112">
        <v>16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30</v>
      </c>
      <c r="BC112">
        <v>235333</v>
      </c>
      <c r="BD112" t="s">
        <v>148</v>
      </c>
      <c r="BP112">
        <v>75000</v>
      </c>
      <c r="CI112">
        <v>473333</v>
      </c>
      <c r="CP112">
        <v>0</v>
      </c>
      <c r="CQ112">
        <v>0</v>
      </c>
      <c r="CR112">
        <v>0</v>
      </c>
    </row>
    <row r="113" spans="1:96" hidden="1" x14ac:dyDescent="0.3">
      <c r="A113">
        <v>112</v>
      </c>
      <c r="B113" t="s">
        <v>584</v>
      </c>
      <c r="C113">
        <v>17499645</v>
      </c>
      <c r="D113" t="s">
        <v>585</v>
      </c>
      <c r="E113" t="s">
        <v>586</v>
      </c>
      <c r="F113" t="s">
        <v>587</v>
      </c>
      <c r="G113" t="s">
        <v>588</v>
      </c>
      <c r="H113" s="1">
        <v>45689</v>
      </c>
      <c r="I113" t="s">
        <v>101</v>
      </c>
      <c r="J113" t="s">
        <v>102</v>
      </c>
      <c r="K113" t="s">
        <v>109</v>
      </c>
      <c r="L113">
        <v>1790000088</v>
      </c>
      <c r="M113">
        <v>1</v>
      </c>
      <c r="N113">
        <v>1</v>
      </c>
      <c r="O113">
        <v>3</v>
      </c>
      <c r="P113">
        <v>3</v>
      </c>
      <c r="Q113">
        <v>3</v>
      </c>
      <c r="R113">
        <v>1</v>
      </c>
      <c r="S113">
        <v>1</v>
      </c>
      <c r="T113">
        <v>1</v>
      </c>
      <c r="U113">
        <v>1</v>
      </c>
      <c r="V113">
        <v>3</v>
      </c>
      <c r="W113">
        <v>3</v>
      </c>
      <c r="X113">
        <v>3</v>
      </c>
      <c r="Y113">
        <v>1</v>
      </c>
      <c r="Z113">
        <v>1</v>
      </c>
      <c r="AA113">
        <v>1</v>
      </c>
      <c r="AB113">
        <v>1</v>
      </c>
      <c r="AC113">
        <v>3</v>
      </c>
      <c r="AD113">
        <v>3</v>
      </c>
      <c r="AE113">
        <v>3</v>
      </c>
      <c r="AF113">
        <v>1</v>
      </c>
      <c r="AG113">
        <v>1</v>
      </c>
      <c r="AH113">
        <v>1</v>
      </c>
      <c r="AI113">
        <v>1</v>
      </c>
      <c r="AJ113">
        <v>3</v>
      </c>
      <c r="AK113">
        <v>3</v>
      </c>
      <c r="AL113">
        <v>3</v>
      </c>
      <c r="AM113">
        <v>1</v>
      </c>
      <c r="AN113">
        <v>1</v>
      </c>
      <c r="AO113">
        <v>1</v>
      </c>
      <c r="AP113">
        <v>1</v>
      </c>
      <c r="AR113">
        <v>18</v>
      </c>
      <c r="AS113">
        <v>0</v>
      </c>
      <c r="AT113">
        <v>12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30</v>
      </c>
      <c r="BE113">
        <v>338000</v>
      </c>
      <c r="BF113" t="s">
        <v>589</v>
      </c>
      <c r="BG113">
        <v>312500</v>
      </c>
      <c r="BH113" t="s">
        <v>590</v>
      </c>
      <c r="BM113">
        <v>0</v>
      </c>
      <c r="CP113">
        <v>0</v>
      </c>
      <c r="CQ113">
        <v>0</v>
      </c>
      <c r="CR113">
        <v>0</v>
      </c>
    </row>
    <row r="114" spans="1:96" hidden="1" x14ac:dyDescent="0.3">
      <c r="A114">
        <v>113</v>
      </c>
      <c r="B114" t="s">
        <v>591</v>
      </c>
      <c r="C114">
        <v>17641049</v>
      </c>
      <c r="D114" t="s">
        <v>165</v>
      </c>
      <c r="E114" t="s">
        <v>592</v>
      </c>
      <c r="F114" t="s">
        <v>593</v>
      </c>
      <c r="G114" t="s">
        <v>594</v>
      </c>
      <c r="H114" s="1">
        <v>45815</v>
      </c>
      <c r="I114" t="s">
        <v>101</v>
      </c>
      <c r="J114" t="s">
        <v>102</v>
      </c>
      <c r="K114" t="s">
        <v>127</v>
      </c>
      <c r="L114">
        <v>1790000088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2</v>
      </c>
      <c r="AI114">
        <v>2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R114">
        <v>21</v>
      </c>
      <c r="AS114">
        <v>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30</v>
      </c>
      <c r="BM114">
        <v>0</v>
      </c>
      <c r="CP114">
        <v>0</v>
      </c>
      <c r="CQ114">
        <v>0</v>
      </c>
      <c r="CR114">
        <v>0</v>
      </c>
    </row>
    <row r="115" spans="1:96" hidden="1" x14ac:dyDescent="0.3">
      <c r="A115">
        <v>114</v>
      </c>
      <c r="B115" t="s">
        <v>595</v>
      </c>
      <c r="C115">
        <v>17659588</v>
      </c>
      <c r="D115" t="s">
        <v>596</v>
      </c>
      <c r="E115" t="s">
        <v>597</v>
      </c>
      <c r="F115" t="s">
        <v>598</v>
      </c>
      <c r="G115" t="s">
        <v>599</v>
      </c>
      <c r="H115" s="1"/>
      <c r="I115" t="s">
        <v>101</v>
      </c>
      <c r="J115" t="s">
        <v>102</v>
      </c>
      <c r="K115" t="s">
        <v>103</v>
      </c>
      <c r="L115">
        <v>1740000002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2000000</v>
      </c>
      <c r="CH115" t="s">
        <v>600</v>
      </c>
      <c r="CP115">
        <v>0</v>
      </c>
      <c r="CQ115">
        <v>0</v>
      </c>
      <c r="CR115">
        <v>0</v>
      </c>
    </row>
    <row r="116" spans="1:96" hidden="1" x14ac:dyDescent="0.3">
      <c r="A116">
        <v>115</v>
      </c>
      <c r="B116" t="s">
        <v>601</v>
      </c>
      <c r="C116">
        <v>17712341</v>
      </c>
      <c r="D116" t="s">
        <v>143</v>
      </c>
      <c r="E116" t="s">
        <v>143</v>
      </c>
      <c r="F116" t="s">
        <v>602</v>
      </c>
      <c r="G116" t="s">
        <v>603</v>
      </c>
      <c r="H116" s="1">
        <v>46054</v>
      </c>
      <c r="I116" t="s">
        <v>101</v>
      </c>
      <c r="J116" t="s">
        <v>102</v>
      </c>
      <c r="K116" t="s">
        <v>141</v>
      </c>
      <c r="L116">
        <v>1790000091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2</v>
      </c>
      <c r="AM116">
        <v>2</v>
      </c>
      <c r="AN116">
        <v>2</v>
      </c>
      <c r="AO116">
        <v>3</v>
      </c>
      <c r="AP116">
        <v>3</v>
      </c>
      <c r="AR116">
        <v>0</v>
      </c>
      <c r="AS116">
        <v>14</v>
      </c>
      <c r="AT116">
        <v>16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30</v>
      </c>
      <c r="CE116">
        <v>74406</v>
      </c>
      <c r="CP116">
        <v>0</v>
      </c>
      <c r="CQ116">
        <v>0</v>
      </c>
      <c r="CR116">
        <v>0</v>
      </c>
    </row>
    <row r="117" spans="1:96" hidden="1" x14ac:dyDescent="0.3">
      <c r="A117">
        <v>116</v>
      </c>
      <c r="B117" t="s">
        <v>604</v>
      </c>
      <c r="C117">
        <v>17712833</v>
      </c>
      <c r="D117" t="s">
        <v>605</v>
      </c>
      <c r="E117" t="s">
        <v>606</v>
      </c>
      <c r="F117" t="s">
        <v>607</v>
      </c>
      <c r="G117" t="s">
        <v>146</v>
      </c>
      <c r="H117" s="1">
        <v>46041</v>
      </c>
      <c r="I117" t="s">
        <v>140</v>
      </c>
      <c r="J117" t="s">
        <v>102</v>
      </c>
      <c r="K117" t="s">
        <v>147</v>
      </c>
      <c r="L117">
        <v>1790000090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3</v>
      </c>
      <c r="AN117">
        <v>3</v>
      </c>
      <c r="AO117">
        <v>3</v>
      </c>
      <c r="AP117">
        <v>3</v>
      </c>
      <c r="AR117">
        <v>0</v>
      </c>
      <c r="AS117">
        <v>14</v>
      </c>
      <c r="AT117">
        <v>16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30</v>
      </c>
      <c r="BC117">
        <v>235333</v>
      </c>
      <c r="BD117" t="s">
        <v>148</v>
      </c>
      <c r="BP117">
        <v>75000</v>
      </c>
      <c r="CI117">
        <v>473333</v>
      </c>
      <c r="CP117">
        <v>0</v>
      </c>
      <c r="CQ117">
        <v>0</v>
      </c>
      <c r="CR117">
        <v>0</v>
      </c>
    </row>
    <row r="118" spans="1:96" hidden="1" x14ac:dyDescent="0.3">
      <c r="A118">
        <v>117</v>
      </c>
      <c r="B118" t="s">
        <v>608</v>
      </c>
      <c r="C118">
        <v>17714007</v>
      </c>
      <c r="D118" t="s">
        <v>182</v>
      </c>
      <c r="E118" t="s">
        <v>609</v>
      </c>
      <c r="F118" t="s">
        <v>277</v>
      </c>
      <c r="G118" t="s">
        <v>233</v>
      </c>
      <c r="H118" s="1">
        <v>46068</v>
      </c>
      <c r="I118" t="s">
        <v>140</v>
      </c>
      <c r="J118" t="s">
        <v>102</v>
      </c>
      <c r="K118" t="s">
        <v>141</v>
      </c>
      <c r="L118">
        <v>1790000091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3</v>
      </c>
      <c r="AB118">
        <v>3</v>
      </c>
      <c r="AC118">
        <v>3</v>
      </c>
      <c r="AD118">
        <v>3</v>
      </c>
      <c r="AE118">
        <v>3</v>
      </c>
      <c r="AF118">
        <v>3</v>
      </c>
      <c r="AG118">
        <v>3</v>
      </c>
      <c r="AH118">
        <v>2</v>
      </c>
      <c r="AI118">
        <v>2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3</v>
      </c>
      <c r="AP118">
        <v>3</v>
      </c>
      <c r="AR118">
        <v>0</v>
      </c>
      <c r="AS118">
        <v>14</v>
      </c>
      <c r="AT118">
        <v>16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30</v>
      </c>
      <c r="CP118">
        <v>0</v>
      </c>
      <c r="CQ118">
        <v>0</v>
      </c>
      <c r="CR118">
        <v>0</v>
      </c>
    </row>
    <row r="119" spans="1:96" hidden="1" x14ac:dyDescent="0.3">
      <c r="A119">
        <v>118</v>
      </c>
      <c r="B119" t="s">
        <v>610</v>
      </c>
      <c r="C119">
        <v>17722078</v>
      </c>
      <c r="D119" t="s">
        <v>296</v>
      </c>
      <c r="E119" t="s">
        <v>611</v>
      </c>
      <c r="F119" t="s">
        <v>612</v>
      </c>
      <c r="G119" t="s">
        <v>153</v>
      </c>
      <c r="H119" s="1">
        <v>45967</v>
      </c>
      <c r="I119" t="s">
        <v>101</v>
      </c>
      <c r="J119" t="s">
        <v>102</v>
      </c>
      <c r="K119" t="s">
        <v>272</v>
      </c>
      <c r="L119">
        <v>1790000090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3</v>
      </c>
      <c r="AN119">
        <v>3</v>
      </c>
      <c r="AO119">
        <v>3</v>
      </c>
      <c r="AP119">
        <v>3</v>
      </c>
      <c r="AR119">
        <v>0</v>
      </c>
      <c r="AS119">
        <v>14</v>
      </c>
      <c r="AT119">
        <v>16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30</v>
      </c>
      <c r="BC119">
        <v>427500</v>
      </c>
      <c r="BD119" t="s">
        <v>148</v>
      </c>
      <c r="BK119">
        <v>256500</v>
      </c>
      <c r="BL119" t="s">
        <v>218</v>
      </c>
      <c r="CI119">
        <v>473333</v>
      </c>
      <c r="CP119">
        <v>0</v>
      </c>
      <c r="CQ119">
        <v>0</v>
      </c>
      <c r="CR119">
        <v>0</v>
      </c>
    </row>
    <row r="120" spans="1:96" hidden="1" x14ac:dyDescent="0.3">
      <c r="A120">
        <v>119</v>
      </c>
      <c r="B120" t="s">
        <v>613</v>
      </c>
      <c r="C120">
        <v>17773864</v>
      </c>
      <c r="D120" t="s">
        <v>259</v>
      </c>
      <c r="E120" t="s">
        <v>614</v>
      </c>
      <c r="F120" t="s">
        <v>615</v>
      </c>
      <c r="G120" t="s">
        <v>616</v>
      </c>
      <c r="H120" s="1">
        <v>45931</v>
      </c>
      <c r="I120" t="s">
        <v>101</v>
      </c>
      <c r="J120" t="s">
        <v>102</v>
      </c>
      <c r="K120" t="s">
        <v>190</v>
      </c>
      <c r="L120">
        <v>1790000088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1</v>
      </c>
      <c r="T120">
        <v>1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3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3</v>
      </c>
      <c r="AO120">
        <v>3</v>
      </c>
      <c r="AP120">
        <v>3</v>
      </c>
      <c r="AR120">
        <v>2</v>
      </c>
      <c r="AS120">
        <v>13</v>
      </c>
      <c r="AT120">
        <v>15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30</v>
      </c>
      <c r="BM120">
        <v>0</v>
      </c>
      <c r="CE120">
        <v>117625</v>
      </c>
      <c r="CP120">
        <v>0</v>
      </c>
      <c r="CQ120">
        <v>0</v>
      </c>
      <c r="CR120">
        <v>0</v>
      </c>
    </row>
    <row r="121" spans="1:96" hidden="1" x14ac:dyDescent="0.3">
      <c r="A121">
        <v>120</v>
      </c>
      <c r="B121" t="s">
        <v>617</v>
      </c>
      <c r="C121">
        <v>17902748</v>
      </c>
      <c r="D121" t="s">
        <v>618</v>
      </c>
      <c r="E121" t="s">
        <v>619</v>
      </c>
      <c r="F121" t="s">
        <v>620</v>
      </c>
      <c r="G121" t="s">
        <v>160</v>
      </c>
      <c r="H121" s="1">
        <v>46035</v>
      </c>
      <c r="I121" t="s">
        <v>140</v>
      </c>
      <c r="J121" t="s">
        <v>102</v>
      </c>
      <c r="K121" t="s">
        <v>208</v>
      </c>
      <c r="L121">
        <v>1790000090</v>
      </c>
      <c r="M121">
        <v>6</v>
      </c>
      <c r="N121">
        <v>6</v>
      </c>
      <c r="O121">
        <v>6</v>
      </c>
      <c r="P121">
        <v>6</v>
      </c>
      <c r="Q121">
        <v>6</v>
      </c>
      <c r="R121">
        <v>6</v>
      </c>
      <c r="S121">
        <v>6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3</v>
      </c>
      <c r="Z121">
        <v>3</v>
      </c>
      <c r="AA121">
        <v>3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R121">
        <v>0</v>
      </c>
      <c r="AS121">
        <v>0</v>
      </c>
      <c r="AT121">
        <v>14</v>
      </c>
      <c r="AU121">
        <v>0</v>
      </c>
      <c r="AV121">
        <v>0</v>
      </c>
      <c r="AW121">
        <v>7</v>
      </c>
      <c r="AX121">
        <v>0</v>
      </c>
      <c r="AY121">
        <v>0</v>
      </c>
      <c r="AZ121">
        <v>0</v>
      </c>
      <c r="BA121">
        <v>14</v>
      </c>
      <c r="CI121">
        <v>315555</v>
      </c>
      <c r="CP121">
        <v>0</v>
      </c>
      <c r="CQ121">
        <v>0</v>
      </c>
      <c r="CR121">
        <v>0</v>
      </c>
    </row>
    <row r="122" spans="1:96" x14ac:dyDescent="0.3">
      <c r="A122">
        <v>121</v>
      </c>
      <c r="B122" t="s">
        <v>621</v>
      </c>
      <c r="C122">
        <v>18008213</v>
      </c>
      <c r="D122" t="s">
        <v>622</v>
      </c>
      <c r="E122" t="s">
        <v>623</v>
      </c>
      <c r="F122" t="s">
        <v>624</v>
      </c>
      <c r="G122" t="s">
        <v>289</v>
      </c>
      <c r="H122" s="1">
        <v>45962</v>
      </c>
      <c r="I122" t="s">
        <v>101</v>
      </c>
      <c r="J122" t="s">
        <v>102</v>
      </c>
      <c r="K122" t="s">
        <v>272</v>
      </c>
      <c r="L122">
        <v>1790000090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3</v>
      </c>
      <c r="AN122">
        <v>3</v>
      </c>
      <c r="AO122">
        <v>3</v>
      </c>
      <c r="AP122">
        <v>3</v>
      </c>
      <c r="AR122">
        <v>0</v>
      </c>
      <c r="AS122">
        <v>14</v>
      </c>
      <c r="AT122">
        <v>16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30</v>
      </c>
      <c r="BC122">
        <v>598333</v>
      </c>
      <c r="BD122" t="s">
        <v>148</v>
      </c>
      <c r="BE122">
        <v>1350000</v>
      </c>
      <c r="BF122" t="s">
        <v>273</v>
      </c>
      <c r="BK122">
        <v>359000</v>
      </c>
      <c r="BL122" t="s">
        <v>218</v>
      </c>
      <c r="BY122">
        <v>86424</v>
      </c>
      <c r="CI122">
        <v>473333</v>
      </c>
      <c r="CP122">
        <v>0</v>
      </c>
      <c r="CQ122">
        <f>VLOOKUP(C122,SEGURO!$A$2:$C$28,3,0)</f>
        <v>18779</v>
      </c>
      <c r="CR122">
        <v>0</v>
      </c>
    </row>
    <row r="123" spans="1:96" hidden="1" x14ac:dyDescent="0.3">
      <c r="A123">
        <v>122</v>
      </c>
      <c r="B123" t="s">
        <v>625</v>
      </c>
      <c r="C123">
        <v>18055189</v>
      </c>
      <c r="D123" t="s">
        <v>626</v>
      </c>
      <c r="E123" t="s">
        <v>627</v>
      </c>
      <c r="F123" t="s">
        <v>628</v>
      </c>
      <c r="G123" t="s">
        <v>543</v>
      </c>
      <c r="H123" s="1">
        <v>45824</v>
      </c>
      <c r="I123" t="s">
        <v>140</v>
      </c>
      <c r="J123" t="s">
        <v>102</v>
      </c>
      <c r="K123" t="s">
        <v>109</v>
      </c>
      <c r="L123">
        <v>1790000088</v>
      </c>
      <c r="M123">
        <v>2</v>
      </c>
      <c r="N123">
        <v>2</v>
      </c>
      <c r="O123">
        <v>8</v>
      </c>
      <c r="P123">
        <v>8</v>
      </c>
      <c r="Q123">
        <v>2</v>
      </c>
      <c r="R123">
        <v>2</v>
      </c>
      <c r="S123">
        <v>2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R123">
        <v>0</v>
      </c>
      <c r="AS123">
        <v>14</v>
      </c>
      <c r="AT123">
        <v>14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0</v>
      </c>
      <c r="BA123">
        <v>30</v>
      </c>
      <c r="BM123">
        <v>2</v>
      </c>
      <c r="BN123">
        <v>309998</v>
      </c>
      <c r="CP123">
        <v>0</v>
      </c>
      <c r="CQ123">
        <v>0</v>
      </c>
      <c r="CR123">
        <v>0</v>
      </c>
    </row>
    <row r="124" spans="1:96" hidden="1" x14ac:dyDescent="0.3">
      <c r="A124">
        <v>123</v>
      </c>
      <c r="B124" t="s">
        <v>629</v>
      </c>
      <c r="C124">
        <v>18125043</v>
      </c>
      <c r="D124" t="s">
        <v>614</v>
      </c>
      <c r="E124" t="s">
        <v>630</v>
      </c>
      <c r="F124" t="s">
        <v>631</v>
      </c>
      <c r="G124" t="s">
        <v>460</v>
      </c>
      <c r="H124" s="1">
        <v>46069</v>
      </c>
      <c r="I124" t="s">
        <v>140</v>
      </c>
      <c r="J124" t="s">
        <v>102</v>
      </c>
      <c r="K124" t="s">
        <v>147</v>
      </c>
      <c r="L124">
        <v>1790000090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3</v>
      </c>
      <c r="AI124">
        <v>3</v>
      </c>
      <c r="AJ124">
        <v>3</v>
      </c>
      <c r="AK124">
        <v>3</v>
      </c>
      <c r="AL124">
        <v>3</v>
      </c>
      <c r="AM124">
        <v>3</v>
      </c>
      <c r="AN124">
        <v>3</v>
      </c>
      <c r="AO124">
        <v>3</v>
      </c>
      <c r="AP124">
        <v>3</v>
      </c>
      <c r="AR124">
        <v>0</v>
      </c>
      <c r="AS124">
        <v>14</v>
      </c>
      <c r="AT124">
        <v>16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30</v>
      </c>
      <c r="BC124">
        <v>150000</v>
      </c>
      <c r="BD124" t="s">
        <v>148</v>
      </c>
      <c r="BP124">
        <v>75000</v>
      </c>
      <c r="CI124">
        <v>315556</v>
      </c>
      <c r="CP124">
        <v>0</v>
      </c>
      <c r="CQ124">
        <v>0</v>
      </c>
      <c r="CR124">
        <v>0</v>
      </c>
    </row>
    <row r="125" spans="1:96" hidden="1" x14ac:dyDescent="0.3">
      <c r="A125">
        <v>124</v>
      </c>
      <c r="B125" t="s">
        <v>632</v>
      </c>
      <c r="C125">
        <v>18182792</v>
      </c>
      <c r="D125" t="s">
        <v>633</v>
      </c>
      <c r="E125" t="s">
        <v>634</v>
      </c>
      <c r="F125" t="s">
        <v>635</v>
      </c>
      <c r="G125" t="s">
        <v>160</v>
      </c>
      <c r="H125" s="1">
        <v>46023</v>
      </c>
      <c r="I125" t="s">
        <v>140</v>
      </c>
      <c r="J125" t="s">
        <v>102</v>
      </c>
      <c r="K125" t="s">
        <v>272</v>
      </c>
      <c r="L125">
        <v>1790000090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3</v>
      </c>
      <c r="AN125">
        <v>3</v>
      </c>
      <c r="AO125">
        <v>3</v>
      </c>
      <c r="AP125">
        <v>3</v>
      </c>
      <c r="AR125">
        <v>0</v>
      </c>
      <c r="AS125">
        <v>14</v>
      </c>
      <c r="AT125">
        <v>16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30</v>
      </c>
      <c r="BC125">
        <v>130833</v>
      </c>
      <c r="BD125" t="s">
        <v>148</v>
      </c>
      <c r="BP125">
        <v>75000</v>
      </c>
      <c r="CI125">
        <v>473333</v>
      </c>
      <c r="CJ125">
        <v>213354</v>
      </c>
      <c r="CP125">
        <v>0</v>
      </c>
      <c r="CQ125">
        <v>0</v>
      </c>
      <c r="CR125">
        <v>0</v>
      </c>
    </row>
    <row r="126" spans="1:96" hidden="1" x14ac:dyDescent="0.3">
      <c r="A126">
        <v>125</v>
      </c>
      <c r="B126" t="s">
        <v>636</v>
      </c>
      <c r="C126">
        <v>18193913</v>
      </c>
      <c r="D126" t="s">
        <v>637</v>
      </c>
      <c r="E126" t="s">
        <v>638</v>
      </c>
      <c r="F126" t="s">
        <v>639</v>
      </c>
      <c r="G126" t="s">
        <v>146</v>
      </c>
      <c r="H126" s="1">
        <v>46001</v>
      </c>
      <c r="I126" t="s">
        <v>140</v>
      </c>
      <c r="J126" t="s">
        <v>102</v>
      </c>
      <c r="K126" t="s">
        <v>147</v>
      </c>
      <c r="L126">
        <v>1790000090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3</v>
      </c>
      <c r="AI126">
        <v>3</v>
      </c>
      <c r="AJ126">
        <v>3</v>
      </c>
      <c r="AK126">
        <v>3</v>
      </c>
      <c r="AL126">
        <v>3</v>
      </c>
      <c r="AM126">
        <v>3</v>
      </c>
      <c r="AN126">
        <v>3</v>
      </c>
      <c r="AO126">
        <v>3</v>
      </c>
      <c r="AP126">
        <v>3</v>
      </c>
      <c r="AR126">
        <v>0</v>
      </c>
      <c r="AS126">
        <v>14</v>
      </c>
      <c r="AT126">
        <v>16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30</v>
      </c>
      <c r="BC126">
        <v>235333</v>
      </c>
      <c r="BD126" t="s">
        <v>148</v>
      </c>
      <c r="BP126">
        <v>75000</v>
      </c>
      <c r="CI126">
        <v>473333</v>
      </c>
      <c r="CO126">
        <f>VLOOKUP(C126,'LOS HEROES'!$A$2:$D$30,4,0)</f>
        <v>5522</v>
      </c>
      <c r="CP126">
        <v>0</v>
      </c>
      <c r="CQ126">
        <v>0</v>
      </c>
      <c r="CR126">
        <v>0</v>
      </c>
    </row>
    <row r="127" spans="1:96" hidden="1" x14ac:dyDescent="0.3">
      <c r="A127">
        <v>126</v>
      </c>
      <c r="B127" t="s">
        <v>640</v>
      </c>
      <c r="C127">
        <v>18217453</v>
      </c>
      <c r="D127" t="s">
        <v>641</v>
      </c>
      <c r="E127" t="s">
        <v>642</v>
      </c>
      <c r="F127" t="s">
        <v>643</v>
      </c>
      <c r="G127" t="s">
        <v>160</v>
      </c>
      <c r="H127" s="1">
        <v>45992</v>
      </c>
      <c r="I127" t="s">
        <v>140</v>
      </c>
      <c r="J127" t="s">
        <v>102</v>
      </c>
      <c r="K127" t="s">
        <v>208</v>
      </c>
      <c r="L127">
        <v>1790000090</v>
      </c>
      <c r="M127">
        <v>6</v>
      </c>
      <c r="N127">
        <v>6</v>
      </c>
      <c r="O127">
        <v>6</v>
      </c>
      <c r="P127">
        <v>6</v>
      </c>
      <c r="Q127">
        <v>6</v>
      </c>
      <c r="R127">
        <v>6</v>
      </c>
      <c r="S127">
        <v>6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R127">
        <v>0</v>
      </c>
      <c r="AS127">
        <v>0</v>
      </c>
      <c r="AT127">
        <v>14</v>
      </c>
      <c r="AU127">
        <v>0</v>
      </c>
      <c r="AV127">
        <v>0</v>
      </c>
      <c r="AW127">
        <v>7</v>
      </c>
      <c r="AX127">
        <v>0</v>
      </c>
      <c r="AY127">
        <v>0</v>
      </c>
      <c r="AZ127">
        <v>0</v>
      </c>
      <c r="BA127">
        <v>14</v>
      </c>
      <c r="CI127">
        <v>315555</v>
      </c>
      <c r="CO127">
        <f>VLOOKUP(C127,'LOS HEROES'!$A$2:$D$30,4,0)</f>
        <v>73099</v>
      </c>
      <c r="CP127">
        <v>0</v>
      </c>
      <c r="CQ127">
        <v>0</v>
      </c>
      <c r="CR127">
        <v>0</v>
      </c>
    </row>
    <row r="128" spans="1:96" x14ac:dyDescent="0.3">
      <c r="A128">
        <v>127</v>
      </c>
      <c r="B128" t="s">
        <v>644</v>
      </c>
      <c r="C128">
        <v>18255837</v>
      </c>
      <c r="D128" t="s">
        <v>645</v>
      </c>
      <c r="E128" t="s">
        <v>503</v>
      </c>
      <c r="F128" t="s">
        <v>646</v>
      </c>
      <c r="G128" t="s">
        <v>189</v>
      </c>
      <c r="H128" s="1">
        <v>45758</v>
      </c>
      <c r="I128" t="s">
        <v>140</v>
      </c>
      <c r="J128" t="s">
        <v>102</v>
      </c>
      <c r="K128" t="s">
        <v>127</v>
      </c>
      <c r="L128">
        <v>1790000088</v>
      </c>
      <c r="M128">
        <v>2</v>
      </c>
      <c r="N128">
        <v>2</v>
      </c>
      <c r="O128">
        <v>8</v>
      </c>
      <c r="P128">
        <v>8</v>
      </c>
      <c r="Q128">
        <v>2</v>
      </c>
      <c r="R128">
        <v>2</v>
      </c>
      <c r="S128">
        <v>2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2</v>
      </c>
      <c r="AP128">
        <v>2</v>
      </c>
      <c r="AR128">
        <v>0</v>
      </c>
      <c r="AS128">
        <v>14</v>
      </c>
      <c r="AT128">
        <v>14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0</v>
      </c>
      <c r="BA128">
        <v>30</v>
      </c>
      <c r="BM128">
        <v>2</v>
      </c>
      <c r="BN128">
        <v>309998</v>
      </c>
      <c r="BY128">
        <v>29400</v>
      </c>
      <c r="CP128">
        <v>0</v>
      </c>
      <c r="CQ128">
        <v>0</v>
      </c>
      <c r="CR128">
        <v>0</v>
      </c>
    </row>
    <row r="129" spans="1:96" hidden="1" x14ac:dyDescent="0.3">
      <c r="A129">
        <v>128</v>
      </c>
      <c r="B129" t="s">
        <v>647</v>
      </c>
      <c r="C129">
        <v>18316953</v>
      </c>
      <c r="D129" t="s">
        <v>648</v>
      </c>
      <c r="E129" t="s">
        <v>649</v>
      </c>
      <c r="F129" t="s">
        <v>650</v>
      </c>
      <c r="G129" t="s">
        <v>576</v>
      </c>
      <c r="H129" s="1">
        <v>45992</v>
      </c>
      <c r="I129" t="s">
        <v>140</v>
      </c>
      <c r="J129" t="s">
        <v>102</v>
      </c>
      <c r="K129" t="s">
        <v>208</v>
      </c>
      <c r="L129">
        <v>1790000090</v>
      </c>
      <c r="M129">
        <v>2</v>
      </c>
      <c r="N129">
        <v>2</v>
      </c>
      <c r="O129">
        <v>8</v>
      </c>
      <c r="P129">
        <v>8</v>
      </c>
      <c r="Q129">
        <v>2</v>
      </c>
      <c r="R129">
        <v>2</v>
      </c>
      <c r="S129">
        <v>2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3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R129">
        <v>0</v>
      </c>
      <c r="AS129">
        <v>14</v>
      </c>
      <c r="AT129">
        <v>14</v>
      </c>
      <c r="AU129">
        <v>0</v>
      </c>
      <c r="AV129">
        <v>0</v>
      </c>
      <c r="AW129">
        <v>0</v>
      </c>
      <c r="AX129">
        <v>0</v>
      </c>
      <c r="AY129">
        <v>2</v>
      </c>
      <c r="AZ129">
        <v>0</v>
      </c>
      <c r="BA129">
        <v>30</v>
      </c>
      <c r="BE129">
        <v>62500.000000000007</v>
      </c>
      <c r="BF129" t="s">
        <v>577</v>
      </c>
      <c r="BM129">
        <v>2</v>
      </c>
      <c r="BN129">
        <v>169500</v>
      </c>
      <c r="BP129">
        <v>75000</v>
      </c>
      <c r="CI129">
        <v>473333</v>
      </c>
      <c r="CP129">
        <v>0</v>
      </c>
      <c r="CQ129">
        <v>0</v>
      </c>
      <c r="CR129">
        <v>0</v>
      </c>
    </row>
    <row r="130" spans="1:96" hidden="1" x14ac:dyDescent="0.3">
      <c r="A130">
        <v>129</v>
      </c>
      <c r="B130" t="s">
        <v>651</v>
      </c>
      <c r="C130">
        <v>18317023</v>
      </c>
      <c r="D130" t="s">
        <v>296</v>
      </c>
      <c r="E130" t="s">
        <v>652</v>
      </c>
      <c r="F130" t="s">
        <v>653</v>
      </c>
      <c r="G130" t="s">
        <v>160</v>
      </c>
      <c r="H130" s="1">
        <v>45962</v>
      </c>
      <c r="I130" t="s">
        <v>140</v>
      </c>
      <c r="J130" t="s">
        <v>102</v>
      </c>
      <c r="K130" t="s">
        <v>190</v>
      </c>
      <c r="L130">
        <v>1790000088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3</v>
      </c>
      <c r="AI130">
        <v>3</v>
      </c>
      <c r="AJ130">
        <v>3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3</v>
      </c>
      <c r="AR130">
        <v>0</v>
      </c>
      <c r="AS130">
        <v>14</v>
      </c>
      <c r="AT130">
        <v>16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30</v>
      </c>
      <c r="BM130">
        <v>0</v>
      </c>
      <c r="CP130">
        <v>0</v>
      </c>
      <c r="CQ130">
        <v>0</v>
      </c>
      <c r="CR130">
        <v>0</v>
      </c>
    </row>
    <row r="131" spans="1:96" hidden="1" x14ac:dyDescent="0.3">
      <c r="A131">
        <v>130</v>
      </c>
      <c r="B131" t="s">
        <v>654</v>
      </c>
      <c r="C131">
        <v>18318148</v>
      </c>
      <c r="D131" t="s">
        <v>296</v>
      </c>
      <c r="E131" t="s">
        <v>296</v>
      </c>
      <c r="F131" t="s">
        <v>655</v>
      </c>
      <c r="G131" t="s">
        <v>189</v>
      </c>
      <c r="H131" s="1">
        <v>46054</v>
      </c>
      <c r="I131" t="s">
        <v>140</v>
      </c>
      <c r="J131" t="s">
        <v>102</v>
      </c>
      <c r="K131" t="s">
        <v>141</v>
      </c>
      <c r="L131">
        <v>1790000091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2</v>
      </c>
      <c r="AO131">
        <v>3</v>
      </c>
      <c r="AP131">
        <v>3</v>
      </c>
      <c r="AR131">
        <v>0</v>
      </c>
      <c r="AS131">
        <v>14</v>
      </c>
      <c r="AT131">
        <v>16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30</v>
      </c>
      <c r="CP131">
        <v>0</v>
      </c>
      <c r="CQ131">
        <v>0</v>
      </c>
      <c r="CR131">
        <v>0</v>
      </c>
    </row>
    <row r="132" spans="1:96" x14ac:dyDescent="0.3">
      <c r="A132">
        <v>131</v>
      </c>
      <c r="B132" t="s">
        <v>656</v>
      </c>
      <c r="C132">
        <v>18352650</v>
      </c>
      <c r="D132" t="s">
        <v>657</v>
      </c>
      <c r="E132" t="s">
        <v>143</v>
      </c>
      <c r="F132" t="s">
        <v>658</v>
      </c>
      <c r="G132" t="s">
        <v>659</v>
      </c>
      <c r="H132" s="1">
        <v>45985</v>
      </c>
      <c r="I132" t="s">
        <v>101</v>
      </c>
      <c r="J132" t="s">
        <v>253</v>
      </c>
      <c r="K132" t="s">
        <v>660</v>
      </c>
      <c r="L132">
        <v>1790000090</v>
      </c>
      <c r="M132">
        <v>2</v>
      </c>
      <c r="N132">
        <v>2</v>
      </c>
      <c r="O132">
        <v>8</v>
      </c>
      <c r="P132">
        <v>8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3</v>
      </c>
      <c r="AN132">
        <v>3</v>
      </c>
      <c r="AO132">
        <v>2</v>
      </c>
      <c r="AP132">
        <v>3</v>
      </c>
      <c r="AR132">
        <v>0</v>
      </c>
      <c r="AS132">
        <v>13</v>
      </c>
      <c r="AT132">
        <v>15</v>
      </c>
      <c r="AU132">
        <v>0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30</v>
      </c>
      <c r="BM132">
        <v>2</v>
      </c>
      <c r="BN132">
        <v>232000</v>
      </c>
      <c r="BP132">
        <v>75000</v>
      </c>
      <c r="BY132">
        <v>6461</v>
      </c>
      <c r="CI132">
        <v>473333</v>
      </c>
      <c r="CP132">
        <v>0</v>
      </c>
      <c r="CQ132">
        <v>0</v>
      </c>
      <c r="CR132">
        <v>0</v>
      </c>
    </row>
    <row r="133" spans="1:96" hidden="1" x14ac:dyDescent="0.3">
      <c r="A133">
        <v>132</v>
      </c>
      <c r="B133" t="s">
        <v>661</v>
      </c>
      <c r="C133">
        <v>18353271</v>
      </c>
      <c r="D133" t="s">
        <v>662</v>
      </c>
      <c r="E133" t="s">
        <v>662</v>
      </c>
      <c r="F133" t="s">
        <v>663</v>
      </c>
      <c r="G133" t="s">
        <v>312</v>
      </c>
      <c r="H133" s="1">
        <v>45992</v>
      </c>
      <c r="I133" t="s">
        <v>140</v>
      </c>
      <c r="J133" t="s">
        <v>102</v>
      </c>
      <c r="K133" t="s">
        <v>208</v>
      </c>
      <c r="L133">
        <v>1790000090</v>
      </c>
      <c r="M133">
        <v>2</v>
      </c>
      <c r="N133">
        <v>2</v>
      </c>
      <c r="O133">
        <v>8</v>
      </c>
      <c r="P133">
        <v>8</v>
      </c>
      <c r="Q133">
        <v>2</v>
      </c>
      <c r="R133">
        <v>2</v>
      </c>
      <c r="S133">
        <v>2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3</v>
      </c>
      <c r="AD133">
        <v>3</v>
      </c>
      <c r="AE133">
        <v>3</v>
      </c>
      <c r="AF133">
        <v>3</v>
      </c>
      <c r="AG133">
        <v>3</v>
      </c>
      <c r="AH133">
        <v>2</v>
      </c>
      <c r="AI133">
        <v>2</v>
      </c>
      <c r="AJ133">
        <v>2</v>
      </c>
      <c r="AK133">
        <v>2</v>
      </c>
      <c r="AL133">
        <v>2</v>
      </c>
      <c r="AM133">
        <v>2</v>
      </c>
      <c r="AN133">
        <v>2</v>
      </c>
      <c r="AO133">
        <v>2</v>
      </c>
      <c r="AP133">
        <v>2</v>
      </c>
      <c r="AR133">
        <v>0</v>
      </c>
      <c r="AS133">
        <v>14</v>
      </c>
      <c r="AT133">
        <v>14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0</v>
      </c>
      <c r="BA133">
        <v>30</v>
      </c>
      <c r="BM133">
        <v>2</v>
      </c>
      <c r="BN133">
        <v>282400</v>
      </c>
      <c r="BP133">
        <v>75000</v>
      </c>
      <c r="CI133">
        <v>473333</v>
      </c>
      <c r="CK133">
        <v>1270799</v>
      </c>
      <c r="CL133">
        <v>100000</v>
      </c>
      <c r="CP133">
        <v>0</v>
      </c>
      <c r="CQ133">
        <v>0</v>
      </c>
      <c r="CR133">
        <v>0</v>
      </c>
    </row>
    <row r="134" spans="1:96" hidden="1" x14ac:dyDescent="0.3">
      <c r="A134">
        <v>133</v>
      </c>
      <c r="B134" t="s">
        <v>664</v>
      </c>
      <c r="C134">
        <v>18353315</v>
      </c>
      <c r="D134" t="s">
        <v>665</v>
      </c>
      <c r="E134" t="s">
        <v>336</v>
      </c>
      <c r="F134" t="s">
        <v>666</v>
      </c>
      <c r="G134" t="s">
        <v>233</v>
      </c>
      <c r="H134" s="1">
        <v>46023</v>
      </c>
      <c r="I134" t="s">
        <v>140</v>
      </c>
      <c r="J134" t="s">
        <v>102</v>
      </c>
      <c r="K134" t="s">
        <v>208</v>
      </c>
      <c r="L134">
        <v>1790000090</v>
      </c>
      <c r="M134">
        <v>2</v>
      </c>
      <c r="N134">
        <v>2</v>
      </c>
      <c r="O134">
        <v>8</v>
      </c>
      <c r="P134">
        <v>8</v>
      </c>
      <c r="Q134">
        <v>2</v>
      </c>
      <c r="R134">
        <v>2</v>
      </c>
      <c r="S134">
        <v>2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3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3</v>
      </c>
      <c r="AR134">
        <v>0</v>
      </c>
      <c r="AS134">
        <v>5</v>
      </c>
      <c r="AT134">
        <v>14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</v>
      </c>
      <c r="BA134">
        <v>21</v>
      </c>
      <c r="BM134">
        <v>2</v>
      </c>
      <c r="BN134">
        <v>180000</v>
      </c>
      <c r="BP134">
        <v>52500</v>
      </c>
      <c r="CI134">
        <v>315555</v>
      </c>
      <c r="CO134">
        <f>VLOOKUP(C134,'LOS HEROES'!$A$2:$D$30,4,0)</f>
        <v>172524</v>
      </c>
      <c r="CP134">
        <v>0</v>
      </c>
      <c r="CQ134">
        <v>0</v>
      </c>
      <c r="CR134">
        <v>0</v>
      </c>
    </row>
    <row r="135" spans="1:96" hidden="1" x14ac:dyDescent="0.3">
      <c r="A135">
        <v>134</v>
      </c>
      <c r="B135" t="s">
        <v>667</v>
      </c>
      <c r="C135">
        <v>18353767</v>
      </c>
      <c r="D135" t="s">
        <v>668</v>
      </c>
      <c r="E135" t="s">
        <v>669</v>
      </c>
      <c r="F135" t="s">
        <v>670</v>
      </c>
      <c r="G135" t="s">
        <v>513</v>
      </c>
      <c r="H135" s="1">
        <v>45992</v>
      </c>
      <c r="I135" t="s">
        <v>101</v>
      </c>
      <c r="J135" t="s">
        <v>253</v>
      </c>
      <c r="K135" t="s">
        <v>272</v>
      </c>
      <c r="L135">
        <v>1790000090</v>
      </c>
      <c r="M135">
        <v>3</v>
      </c>
      <c r="N135">
        <v>3</v>
      </c>
      <c r="O135">
        <v>3</v>
      </c>
      <c r="P135">
        <v>3</v>
      </c>
      <c r="Q135">
        <v>3</v>
      </c>
      <c r="R135">
        <v>3</v>
      </c>
      <c r="S135">
        <v>3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3</v>
      </c>
      <c r="AI135">
        <v>3</v>
      </c>
      <c r="AJ135">
        <v>3</v>
      </c>
      <c r="AK135">
        <v>3</v>
      </c>
      <c r="AL135">
        <v>3</v>
      </c>
      <c r="AM135">
        <v>3</v>
      </c>
      <c r="AN135">
        <v>3</v>
      </c>
      <c r="AO135">
        <v>3</v>
      </c>
      <c r="AP135">
        <v>3</v>
      </c>
      <c r="AR135">
        <v>0</v>
      </c>
      <c r="AS135">
        <v>14</v>
      </c>
      <c r="AT135">
        <v>16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30</v>
      </c>
      <c r="BC135">
        <v>384667</v>
      </c>
      <c r="BD135" t="s">
        <v>148</v>
      </c>
      <c r="CI135">
        <v>473333</v>
      </c>
      <c r="CP135">
        <v>0</v>
      </c>
      <c r="CQ135">
        <v>0</v>
      </c>
      <c r="CR135">
        <v>0</v>
      </c>
    </row>
    <row r="136" spans="1:96" hidden="1" x14ac:dyDescent="0.3">
      <c r="A136">
        <v>135</v>
      </c>
      <c r="B136" t="s">
        <v>671</v>
      </c>
      <c r="C136">
        <v>18444978</v>
      </c>
      <c r="D136" t="s">
        <v>672</v>
      </c>
      <c r="E136" t="s">
        <v>673</v>
      </c>
      <c r="F136" t="s">
        <v>674</v>
      </c>
      <c r="G136" t="s">
        <v>146</v>
      </c>
      <c r="H136" s="1">
        <v>45987</v>
      </c>
      <c r="I136" t="s">
        <v>140</v>
      </c>
      <c r="J136" t="s">
        <v>102</v>
      </c>
      <c r="K136" t="s">
        <v>208</v>
      </c>
      <c r="L136">
        <v>1790000090</v>
      </c>
      <c r="M136">
        <v>2</v>
      </c>
      <c r="N136">
        <v>2</v>
      </c>
      <c r="O136">
        <v>8</v>
      </c>
      <c r="P136">
        <v>8</v>
      </c>
      <c r="Q136">
        <v>2</v>
      </c>
      <c r="R136">
        <v>2</v>
      </c>
      <c r="S136">
        <v>2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3</v>
      </c>
      <c r="AE136">
        <v>3</v>
      </c>
      <c r="AF136">
        <v>3</v>
      </c>
      <c r="AG136">
        <v>3</v>
      </c>
      <c r="AR136">
        <v>0</v>
      </c>
      <c r="AS136">
        <v>5</v>
      </c>
      <c r="AT136">
        <v>14</v>
      </c>
      <c r="AU136">
        <v>0</v>
      </c>
      <c r="AV136">
        <v>0</v>
      </c>
      <c r="AW136">
        <v>0</v>
      </c>
      <c r="AX136">
        <v>0</v>
      </c>
      <c r="AY136">
        <v>2</v>
      </c>
      <c r="AZ136">
        <v>0</v>
      </c>
      <c r="BA136">
        <v>21</v>
      </c>
      <c r="BM136">
        <v>2</v>
      </c>
      <c r="BN136">
        <v>282400</v>
      </c>
      <c r="BP136">
        <v>52500</v>
      </c>
      <c r="CI136">
        <v>315555</v>
      </c>
      <c r="CP136">
        <v>0</v>
      </c>
      <c r="CQ136">
        <v>0</v>
      </c>
      <c r="CR136">
        <v>0</v>
      </c>
    </row>
    <row r="137" spans="1:96" hidden="1" x14ac:dyDescent="0.3">
      <c r="A137">
        <v>136</v>
      </c>
      <c r="B137" t="s">
        <v>675</v>
      </c>
      <c r="C137">
        <v>18632489</v>
      </c>
      <c r="D137" t="s">
        <v>183</v>
      </c>
      <c r="E137" t="s">
        <v>676</v>
      </c>
      <c r="F137" t="s">
        <v>677</v>
      </c>
      <c r="G137" t="s">
        <v>233</v>
      </c>
      <c r="H137" s="1">
        <v>46054</v>
      </c>
      <c r="I137" t="s">
        <v>140</v>
      </c>
      <c r="J137" t="s">
        <v>102</v>
      </c>
      <c r="K137" t="s">
        <v>243</v>
      </c>
      <c r="L137">
        <v>1790000090</v>
      </c>
      <c r="M137">
        <v>2</v>
      </c>
      <c r="N137">
        <v>2</v>
      </c>
      <c r="O137">
        <v>8</v>
      </c>
      <c r="P137">
        <v>8</v>
      </c>
      <c r="Q137">
        <v>2</v>
      </c>
      <c r="R137">
        <v>2</v>
      </c>
      <c r="S137">
        <v>2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R137">
        <v>0</v>
      </c>
      <c r="AS137">
        <v>5</v>
      </c>
      <c r="AT137">
        <v>14</v>
      </c>
      <c r="AU137">
        <v>0</v>
      </c>
      <c r="AV137">
        <v>0</v>
      </c>
      <c r="AW137">
        <v>0</v>
      </c>
      <c r="AX137">
        <v>0</v>
      </c>
      <c r="AY137">
        <v>2</v>
      </c>
      <c r="AZ137">
        <v>0</v>
      </c>
      <c r="BA137">
        <v>21</v>
      </c>
      <c r="BM137">
        <v>2</v>
      </c>
      <c r="BN137">
        <v>180000</v>
      </c>
      <c r="BP137">
        <v>52500</v>
      </c>
      <c r="CI137">
        <v>315555</v>
      </c>
      <c r="CP137">
        <v>0</v>
      </c>
      <c r="CQ137">
        <v>0</v>
      </c>
      <c r="CR137">
        <v>0</v>
      </c>
    </row>
    <row r="138" spans="1:96" hidden="1" x14ac:dyDescent="0.3">
      <c r="A138">
        <v>137</v>
      </c>
      <c r="B138" t="s">
        <v>678</v>
      </c>
      <c r="C138">
        <v>18687714</v>
      </c>
      <c r="D138" t="s">
        <v>605</v>
      </c>
      <c r="E138" t="s">
        <v>679</v>
      </c>
      <c r="F138" t="s">
        <v>680</v>
      </c>
      <c r="G138" t="s">
        <v>146</v>
      </c>
      <c r="H138" s="1">
        <v>46054</v>
      </c>
      <c r="I138" t="s">
        <v>140</v>
      </c>
      <c r="J138" t="s">
        <v>102</v>
      </c>
      <c r="K138" t="s">
        <v>243</v>
      </c>
      <c r="L138">
        <v>1790000090</v>
      </c>
      <c r="M138">
        <v>2</v>
      </c>
      <c r="N138">
        <v>2</v>
      </c>
      <c r="O138">
        <v>8</v>
      </c>
      <c r="P138">
        <v>8</v>
      </c>
      <c r="Q138">
        <v>2</v>
      </c>
      <c r="R138">
        <v>2</v>
      </c>
      <c r="S138">
        <v>2</v>
      </c>
      <c r="T138">
        <v>3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3</v>
      </c>
      <c r="AR138">
        <v>0</v>
      </c>
      <c r="AS138">
        <v>5</v>
      </c>
      <c r="AT138">
        <v>14</v>
      </c>
      <c r="AU138">
        <v>0</v>
      </c>
      <c r="AV138">
        <v>0</v>
      </c>
      <c r="AW138">
        <v>0</v>
      </c>
      <c r="AX138">
        <v>0</v>
      </c>
      <c r="AY138">
        <v>2</v>
      </c>
      <c r="AZ138">
        <v>0</v>
      </c>
      <c r="BA138">
        <v>21</v>
      </c>
      <c r="BM138">
        <v>2</v>
      </c>
      <c r="BN138">
        <v>282400</v>
      </c>
      <c r="BP138">
        <v>52500</v>
      </c>
      <c r="CI138">
        <v>315555</v>
      </c>
      <c r="CP138">
        <v>0</v>
      </c>
      <c r="CQ138">
        <v>0</v>
      </c>
      <c r="CR138">
        <v>0</v>
      </c>
    </row>
    <row r="139" spans="1:96" x14ac:dyDescent="0.3">
      <c r="A139">
        <v>138</v>
      </c>
      <c r="B139" t="s">
        <v>681</v>
      </c>
      <c r="C139">
        <v>18840949</v>
      </c>
      <c r="D139" t="s">
        <v>682</v>
      </c>
      <c r="E139" t="s">
        <v>683</v>
      </c>
      <c r="F139" t="s">
        <v>684</v>
      </c>
      <c r="G139" t="s">
        <v>685</v>
      </c>
      <c r="H139" s="1">
        <v>45962</v>
      </c>
      <c r="I139" t="s">
        <v>140</v>
      </c>
      <c r="J139" t="s">
        <v>102</v>
      </c>
      <c r="K139" t="s">
        <v>190</v>
      </c>
      <c r="L139">
        <v>1790000088</v>
      </c>
      <c r="M139">
        <v>1</v>
      </c>
      <c r="N139">
        <v>1</v>
      </c>
      <c r="O139">
        <v>1</v>
      </c>
      <c r="P139">
        <v>1</v>
      </c>
      <c r="AR139">
        <v>4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4</v>
      </c>
      <c r="BM139">
        <v>0</v>
      </c>
      <c r="BY139">
        <v>14060</v>
      </c>
      <c r="CP139">
        <v>0</v>
      </c>
      <c r="CQ139">
        <v>0</v>
      </c>
      <c r="CR139">
        <v>0</v>
      </c>
    </row>
    <row r="140" spans="1:96" hidden="1" x14ac:dyDescent="0.3">
      <c r="A140">
        <v>139</v>
      </c>
      <c r="B140" t="s">
        <v>686</v>
      </c>
      <c r="C140">
        <v>18968220</v>
      </c>
      <c r="D140" t="s">
        <v>396</v>
      </c>
      <c r="E140" t="s">
        <v>431</v>
      </c>
      <c r="F140" t="s">
        <v>687</v>
      </c>
      <c r="G140" t="s">
        <v>160</v>
      </c>
      <c r="H140" s="1">
        <v>45992</v>
      </c>
      <c r="I140" t="s">
        <v>140</v>
      </c>
      <c r="J140" t="s">
        <v>102</v>
      </c>
      <c r="K140" t="s">
        <v>208</v>
      </c>
      <c r="L140">
        <v>1790000090</v>
      </c>
      <c r="M140">
        <v>2</v>
      </c>
      <c r="N140">
        <v>2</v>
      </c>
      <c r="O140">
        <v>8</v>
      </c>
      <c r="P140">
        <v>8</v>
      </c>
      <c r="Q140">
        <v>2</v>
      </c>
      <c r="R140">
        <v>2</v>
      </c>
      <c r="S140">
        <v>2</v>
      </c>
      <c r="T140">
        <v>3</v>
      </c>
      <c r="U140">
        <v>3</v>
      </c>
      <c r="V140">
        <v>3</v>
      </c>
      <c r="W140">
        <v>3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3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  <c r="AN140">
        <v>2</v>
      </c>
      <c r="AO140">
        <v>2</v>
      </c>
      <c r="AP140">
        <v>2</v>
      </c>
      <c r="AR140">
        <v>0</v>
      </c>
      <c r="AS140">
        <v>14</v>
      </c>
      <c r="AT140">
        <v>14</v>
      </c>
      <c r="AU140">
        <v>0</v>
      </c>
      <c r="AV140">
        <v>0</v>
      </c>
      <c r="AW140">
        <v>0</v>
      </c>
      <c r="AX140">
        <v>0</v>
      </c>
      <c r="AY140">
        <v>2</v>
      </c>
      <c r="AZ140">
        <v>0</v>
      </c>
      <c r="BA140">
        <v>30</v>
      </c>
      <c r="BM140">
        <v>2</v>
      </c>
      <c r="BN140">
        <v>157000</v>
      </c>
      <c r="BP140">
        <v>75000</v>
      </c>
      <c r="CI140">
        <v>473333</v>
      </c>
      <c r="CP140">
        <v>0</v>
      </c>
      <c r="CQ140">
        <v>0</v>
      </c>
      <c r="CR140">
        <v>0</v>
      </c>
    </row>
    <row r="141" spans="1:96" x14ac:dyDescent="0.3">
      <c r="A141">
        <v>140</v>
      </c>
      <c r="B141" t="s">
        <v>688</v>
      </c>
      <c r="C141">
        <v>18984688</v>
      </c>
      <c r="D141" t="s">
        <v>157</v>
      </c>
      <c r="E141" t="s">
        <v>246</v>
      </c>
      <c r="F141" t="s">
        <v>689</v>
      </c>
      <c r="G141" t="s">
        <v>233</v>
      </c>
      <c r="H141" s="1">
        <v>46096</v>
      </c>
      <c r="I141" t="s">
        <v>140</v>
      </c>
      <c r="J141" t="s">
        <v>102</v>
      </c>
      <c r="K141" t="s">
        <v>141</v>
      </c>
      <c r="L141">
        <v>1790000091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3</v>
      </c>
      <c r="AP141">
        <v>3</v>
      </c>
      <c r="AR141">
        <v>0</v>
      </c>
      <c r="AS141">
        <v>14</v>
      </c>
      <c r="AT141">
        <v>16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30</v>
      </c>
      <c r="BY141">
        <v>60000</v>
      </c>
      <c r="CP141">
        <v>0</v>
      </c>
      <c r="CQ141">
        <v>0</v>
      </c>
      <c r="CR141">
        <v>0</v>
      </c>
    </row>
    <row r="142" spans="1:96" hidden="1" x14ac:dyDescent="0.3">
      <c r="A142">
        <v>141</v>
      </c>
      <c r="B142" t="s">
        <v>690</v>
      </c>
      <c r="C142">
        <v>19046867</v>
      </c>
      <c r="D142" t="s">
        <v>440</v>
      </c>
      <c r="E142" t="s">
        <v>691</v>
      </c>
      <c r="F142" t="s">
        <v>575</v>
      </c>
      <c r="G142" t="s">
        <v>160</v>
      </c>
      <c r="H142" s="1">
        <v>45987</v>
      </c>
      <c r="I142" t="s">
        <v>140</v>
      </c>
      <c r="J142" t="s">
        <v>102</v>
      </c>
      <c r="K142" t="s">
        <v>208</v>
      </c>
      <c r="L142">
        <v>1790000090</v>
      </c>
      <c r="M142">
        <v>2</v>
      </c>
      <c r="N142">
        <v>2</v>
      </c>
      <c r="O142">
        <v>8</v>
      </c>
      <c r="P142">
        <v>8</v>
      </c>
      <c r="Q142">
        <v>2</v>
      </c>
      <c r="R142">
        <v>2</v>
      </c>
      <c r="S142">
        <v>2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3</v>
      </c>
      <c r="AR142">
        <v>0</v>
      </c>
      <c r="AS142">
        <v>5</v>
      </c>
      <c r="AT142">
        <v>14</v>
      </c>
      <c r="AU142">
        <v>0</v>
      </c>
      <c r="AV142">
        <v>0</v>
      </c>
      <c r="AW142">
        <v>0</v>
      </c>
      <c r="AX142">
        <v>0</v>
      </c>
      <c r="AY142">
        <v>2</v>
      </c>
      <c r="AZ142">
        <v>0</v>
      </c>
      <c r="BA142">
        <v>21</v>
      </c>
      <c r="BM142">
        <v>2</v>
      </c>
      <c r="BN142">
        <v>157000</v>
      </c>
      <c r="BP142">
        <v>52500</v>
      </c>
      <c r="CI142">
        <v>315555</v>
      </c>
      <c r="CP142">
        <v>0</v>
      </c>
      <c r="CQ142">
        <v>0</v>
      </c>
      <c r="CR142">
        <v>0</v>
      </c>
    </row>
    <row r="143" spans="1:96" hidden="1" x14ac:dyDescent="0.3">
      <c r="A143">
        <v>142</v>
      </c>
      <c r="B143" t="s">
        <v>692</v>
      </c>
      <c r="C143">
        <v>19049850</v>
      </c>
      <c r="D143" t="s">
        <v>567</v>
      </c>
      <c r="E143" t="s">
        <v>676</v>
      </c>
      <c r="F143" t="s">
        <v>693</v>
      </c>
      <c r="G143" t="s">
        <v>153</v>
      </c>
      <c r="H143" s="1">
        <v>45992</v>
      </c>
      <c r="I143" t="s">
        <v>101</v>
      </c>
      <c r="J143" t="s">
        <v>102</v>
      </c>
      <c r="K143" t="s">
        <v>208</v>
      </c>
      <c r="L143">
        <v>1790000090</v>
      </c>
      <c r="M143">
        <v>2</v>
      </c>
      <c r="N143">
        <v>2</v>
      </c>
      <c r="O143">
        <v>8</v>
      </c>
      <c r="P143">
        <v>8</v>
      </c>
      <c r="Q143">
        <v>2</v>
      </c>
      <c r="R143">
        <v>2</v>
      </c>
      <c r="S143">
        <v>2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2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R143">
        <v>0</v>
      </c>
      <c r="AS143">
        <v>14</v>
      </c>
      <c r="AT143">
        <v>14</v>
      </c>
      <c r="AU143">
        <v>0</v>
      </c>
      <c r="AV143">
        <v>0</v>
      </c>
      <c r="AW143">
        <v>0</v>
      </c>
      <c r="AX143">
        <v>0</v>
      </c>
      <c r="AY143">
        <v>2</v>
      </c>
      <c r="AZ143">
        <v>0</v>
      </c>
      <c r="BA143">
        <v>30</v>
      </c>
      <c r="BM143">
        <v>2</v>
      </c>
      <c r="BN143">
        <v>513000</v>
      </c>
      <c r="CI143">
        <v>473333</v>
      </c>
      <c r="CK143">
        <v>2308499</v>
      </c>
      <c r="CL143">
        <v>100000</v>
      </c>
      <c r="CP143">
        <v>0</v>
      </c>
      <c r="CQ143">
        <v>0</v>
      </c>
      <c r="CR143">
        <v>0</v>
      </c>
    </row>
    <row r="144" spans="1:96" x14ac:dyDescent="0.3">
      <c r="A144">
        <v>143</v>
      </c>
      <c r="B144" t="s">
        <v>694</v>
      </c>
      <c r="C144">
        <v>19099785</v>
      </c>
      <c r="D144" t="s">
        <v>695</v>
      </c>
      <c r="E144" t="s">
        <v>696</v>
      </c>
      <c r="F144" t="s">
        <v>697</v>
      </c>
      <c r="G144" t="s">
        <v>698</v>
      </c>
      <c r="H144" s="1">
        <v>45754</v>
      </c>
      <c r="I144" t="s">
        <v>101</v>
      </c>
      <c r="J144" t="s">
        <v>102</v>
      </c>
      <c r="K144" t="s">
        <v>109</v>
      </c>
      <c r="L144">
        <v>1790000088</v>
      </c>
      <c r="M144">
        <v>1</v>
      </c>
      <c r="N144">
        <v>1</v>
      </c>
      <c r="O144">
        <v>3</v>
      </c>
      <c r="P144">
        <v>3</v>
      </c>
      <c r="Q144">
        <v>3</v>
      </c>
      <c r="R144">
        <v>1</v>
      </c>
      <c r="S144">
        <v>1</v>
      </c>
      <c r="T144">
        <v>1</v>
      </c>
      <c r="U144">
        <v>1</v>
      </c>
      <c r="V144">
        <v>3</v>
      </c>
      <c r="W144">
        <v>3</v>
      </c>
      <c r="X144">
        <v>3</v>
      </c>
      <c r="Y144">
        <v>1</v>
      </c>
      <c r="Z144">
        <v>1</v>
      </c>
      <c r="AA144">
        <v>1</v>
      </c>
      <c r="AB144">
        <v>1</v>
      </c>
      <c r="AC144">
        <v>3</v>
      </c>
      <c r="AD144">
        <v>3</v>
      </c>
      <c r="AE144">
        <v>3</v>
      </c>
      <c r="AF144">
        <v>1</v>
      </c>
      <c r="AG144">
        <v>1</v>
      </c>
      <c r="AH144">
        <v>1</v>
      </c>
      <c r="AI144">
        <v>1</v>
      </c>
      <c r="AJ144">
        <v>3</v>
      </c>
      <c r="AK144">
        <v>3</v>
      </c>
      <c r="AL144">
        <v>3</v>
      </c>
      <c r="AM144">
        <v>1</v>
      </c>
      <c r="AN144">
        <v>1</v>
      </c>
      <c r="AO144">
        <v>1</v>
      </c>
      <c r="AP144">
        <v>1</v>
      </c>
      <c r="AR144">
        <v>18</v>
      </c>
      <c r="AS144">
        <v>0</v>
      </c>
      <c r="AT144">
        <v>12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30</v>
      </c>
      <c r="BM144">
        <v>0</v>
      </c>
      <c r="BY144">
        <v>86800</v>
      </c>
      <c r="CP144">
        <v>0</v>
      </c>
      <c r="CQ144">
        <v>0</v>
      </c>
      <c r="CR144">
        <v>0</v>
      </c>
    </row>
    <row r="145" spans="1:96" hidden="1" x14ac:dyDescent="0.3">
      <c r="A145">
        <v>144</v>
      </c>
      <c r="B145" t="s">
        <v>699</v>
      </c>
      <c r="C145">
        <v>19104534</v>
      </c>
      <c r="D145" t="s">
        <v>700</v>
      </c>
      <c r="E145" t="s">
        <v>701</v>
      </c>
      <c r="F145" t="s">
        <v>702</v>
      </c>
      <c r="G145" t="s">
        <v>160</v>
      </c>
      <c r="H145" s="1">
        <v>45987</v>
      </c>
      <c r="I145" t="s">
        <v>140</v>
      </c>
      <c r="J145" t="s">
        <v>102</v>
      </c>
      <c r="K145" t="s">
        <v>208</v>
      </c>
      <c r="L145">
        <v>1790000090</v>
      </c>
      <c r="M145">
        <v>2</v>
      </c>
      <c r="N145">
        <v>2</v>
      </c>
      <c r="O145">
        <v>6</v>
      </c>
      <c r="P145">
        <v>6</v>
      </c>
      <c r="Q145">
        <v>6</v>
      </c>
      <c r="R145">
        <v>6</v>
      </c>
      <c r="S145">
        <v>6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R145">
        <v>0</v>
      </c>
      <c r="AS145">
        <v>2</v>
      </c>
      <c r="AT145">
        <v>14</v>
      </c>
      <c r="AU145">
        <v>0</v>
      </c>
      <c r="AV145">
        <v>0</v>
      </c>
      <c r="AW145">
        <v>5</v>
      </c>
      <c r="AX145">
        <v>0</v>
      </c>
      <c r="AY145">
        <v>0</v>
      </c>
      <c r="AZ145">
        <v>0</v>
      </c>
      <c r="BA145">
        <v>16</v>
      </c>
      <c r="CI145">
        <v>315555</v>
      </c>
      <c r="CP145">
        <v>0</v>
      </c>
      <c r="CQ145">
        <v>0</v>
      </c>
      <c r="CR145">
        <v>0</v>
      </c>
    </row>
    <row r="146" spans="1:96" x14ac:dyDescent="0.3">
      <c r="A146">
        <v>145</v>
      </c>
      <c r="B146" t="s">
        <v>703</v>
      </c>
      <c r="C146">
        <v>19123828</v>
      </c>
      <c r="D146" t="s">
        <v>704</v>
      </c>
      <c r="E146" t="s">
        <v>705</v>
      </c>
      <c r="F146" t="s">
        <v>706</v>
      </c>
      <c r="G146" t="s">
        <v>146</v>
      </c>
      <c r="H146" s="1">
        <v>45992</v>
      </c>
      <c r="I146" t="s">
        <v>140</v>
      </c>
      <c r="J146" t="s">
        <v>102</v>
      </c>
      <c r="K146" t="s">
        <v>208</v>
      </c>
      <c r="L146">
        <v>1790000090</v>
      </c>
      <c r="M146">
        <v>2</v>
      </c>
      <c r="N146">
        <v>2</v>
      </c>
      <c r="O146">
        <v>8</v>
      </c>
      <c r="P146">
        <v>8</v>
      </c>
      <c r="Q146">
        <v>2</v>
      </c>
      <c r="R146">
        <v>2</v>
      </c>
      <c r="S146">
        <v>2</v>
      </c>
      <c r="T146">
        <v>3</v>
      </c>
      <c r="U146">
        <v>3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R146">
        <v>0</v>
      </c>
      <c r="AS146">
        <v>5</v>
      </c>
      <c r="AT146">
        <v>14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0</v>
      </c>
      <c r="BA146">
        <v>21</v>
      </c>
      <c r="BM146">
        <v>2</v>
      </c>
      <c r="BN146">
        <v>282400</v>
      </c>
      <c r="BP146">
        <v>52500</v>
      </c>
      <c r="BY146">
        <v>47000</v>
      </c>
      <c r="CI146">
        <v>315555</v>
      </c>
      <c r="CP146">
        <v>0</v>
      </c>
      <c r="CQ146">
        <v>0</v>
      </c>
      <c r="CR146">
        <v>0</v>
      </c>
    </row>
    <row r="147" spans="1:96" hidden="1" x14ac:dyDescent="0.3">
      <c r="A147">
        <v>146</v>
      </c>
      <c r="B147" t="s">
        <v>707</v>
      </c>
      <c r="C147">
        <v>19155427</v>
      </c>
      <c r="D147" t="s">
        <v>226</v>
      </c>
      <c r="E147" t="s">
        <v>708</v>
      </c>
      <c r="F147" t="s">
        <v>709</v>
      </c>
      <c r="G147" t="s">
        <v>419</v>
      </c>
      <c r="H147" s="1">
        <v>45987</v>
      </c>
      <c r="I147" t="s">
        <v>140</v>
      </c>
      <c r="J147" t="s">
        <v>102</v>
      </c>
      <c r="K147" t="s">
        <v>208</v>
      </c>
      <c r="L147">
        <v>1790000090</v>
      </c>
      <c r="M147">
        <v>2</v>
      </c>
      <c r="N147">
        <v>2</v>
      </c>
      <c r="O147">
        <v>8</v>
      </c>
      <c r="P147">
        <v>8</v>
      </c>
      <c r="Q147">
        <v>2</v>
      </c>
      <c r="R147">
        <v>2</v>
      </c>
      <c r="S147">
        <v>2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R147">
        <v>0</v>
      </c>
      <c r="AS147">
        <v>14</v>
      </c>
      <c r="AT147">
        <v>14</v>
      </c>
      <c r="AU147">
        <v>0</v>
      </c>
      <c r="AV147">
        <v>0</v>
      </c>
      <c r="AW147">
        <v>0</v>
      </c>
      <c r="AX147">
        <v>0</v>
      </c>
      <c r="AY147">
        <v>2</v>
      </c>
      <c r="AZ147">
        <v>0</v>
      </c>
      <c r="BA147">
        <v>30</v>
      </c>
      <c r="BM147">
        <v>2</v>
      </c>
      <c r="BN147">
        <v>282400</v>
      </c>
      <c r="BP147">
        <v>75000</v>
      </c>
      <c r="CI147">
        <v>473333</v>
      </c>
      <c r="CK147">
        <v>1270799</v>
      </c>
      <c r="CL147">
        <v>100000</v>
      </c>
      <c r="CP147">
        <v>0</v>
      </c>
      <c r="CQ147">
        <v>0</v>
      </c>
      <c r="CR147">
        <v>0</v>
      </c>
    </row>
    <row r="148" spans="1:96" hidden="1" x14ac:dyDescent="0.3">
      <c r="A148">
        <v>148</v>
      </c>
      <c r="B148" t="s">
        <v>710</v>
      </c>
      <c r="C148">
        <v>19206550</v>
      </c>
      <c r="D148" t="s">
        <v>711</v>
      </c>
      <c r="E148" t="s">
        <v>712</v>
      </c>
      <c r="F148" t="s">
        <v>713</v>
      </c>
      <c r="G148" t="s">
        <v>426</v>
      </c>
      <c r="H148" s="1">
        <v>45880</v>
      </c>
      <c r="I148" t="s">
        <v>101</v>
      </c>
      <c r="J148" t="s">
        <v>102</v>
      </c>
      <c r="K148" t="s">
        <v>109</v>
      </c>
      <c r="L148">
        <v>1790000088</v>
      </c>
      <c r="M148">
        <v>1</v>
      </c>
      <c r="N148">
        <v>3</v>
      </c>
      <c r="O148">
        <v>3</v>
      </c>
      <c r="P148">
        <v>3</v>
      </c>
      <c r="AR148">
        <v>1</v>
      </c>
      <c r="AS148">
        <v>0</v>
      </c>
      <c r="AT148">
        <v>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4</v>
      </c>
      <c r="BM148">
        <v>0</v>
      </c>
      <c r="CP148">
        <v>0</v>
      </c>
      <c r="CQ148">
        <v>0</v>
      </c>
      <c r="CR148">
        <v>0</v>
      </c>
    </row>
    <row r="149" spans="1:96" hidden="1" x14ac:dyDescent="0.3">
      <c r="A149">
        <v>147</v>
      </c>
      <c r="B149" t="s">
        <v>710</v>
      </c>
      <c r="C149">
        <v>19206550</v>
      </c>
      <c r="D149" t="s">
        <v>711</v>
      </c>
      <c r="E149" t="s">
        <v>714</v>
      </c>
      <c r="F149" t="s">
        <v>715</v>
      </c>
      <c r="G149" t="s">
        <v>426</v>
      </c>
      <c r="H149" s="1">
        <v>46113</v>
      </c>
      <c r="I149" t="s">
        <v>101</v>
      </c>
      <c r="J149" t="s">
        <v>102</v>
      </c>
      <c r="K149" t="s">
        <v>141</v>
      </c>
      <c r="L149">
        <v>1790000091</v>
      </c>
      <c r="M149">
        <v>3</v>
      </c>
      <c r="N149">
        <v>3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2</v>
      </c>
      <c r="AI149">
        <v>2</v>
      </c>
      <c r="AJ149">
        <v>2</v>
      </c>
      <c r="AK149">
        <v>2</v>
      </c>
      <c r="AL149">
        <v>2</v>
      </c>
      <c r="AM149">
        <v>2</v>
      </c>
      <c r="AN149">
        <v>2</v>
      </c>
      <c r="AO149">
        <v>3</v>
      </c>
      <c r="AP149">
        <v>3</v>
      </c>
      <c r="AR149">
        <v>0</v>
      </c>
      <c r="AS149">
        <v>14</v>
      </c>
      <c r="AT149">
        <v>16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30</v>
      </c>
      <c r="CP149">
        <v>0</v>
      </c>
      <c r="CQ149">
        <v>0</v>
      </c>
      <c r="CR149">
        <v>0</v>
      </c>
    </row>
    <row r="150" spans="1:96" hidden="1" x14ac:dyDescent="0.3">
      <c r="A150">
        <v>149</v>
      </c>
      <c r="B150" t="s">
        <v>716</v>
      </c>
      <c r="C150">
        <v>19260480</v>
      </c>
      <c r="D150" t="s">
        <v>717</v>
      </c>
      <c r="E150" t="s">
        <v>567</v>
      </c>
      <c r="F150" t="s">
        <v>718</v>
      </c>
      <c r="G150" t="s">
        <v>719</v>
      </c>
      <c r="H150" s="1">
        <v>45988</v>
      </c>
      <c r="I150" t="s">
        <v>101</v>
      </c>
      <c r="J150" t="s">
        <v>102</v>
      </c>
      <c r="K150" t="s">
        <v>208</v>
      </c>
      <c r="L150">
        <v>1790000090</v>
      </c>
      <c r="M150">
        <v>2</v>
      </c>
      <c r="N150">
        <v>2</v>
      </c>
      <c r="O150">
        <v>8</v>
      </c>
      <c r="P150">
        <v>8</v>
      </c>
      <c r="Q150">
        <v>2</v>
      </c>
      <c r="R150">
        <v>2</v>
      </c>
      <c r="S150">
        <v>2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2</v>
      </c>
      <c r="AI150">
        <v>2</v>
      </c>
      <c r="AJ150">
        <v>2</v>
      </c>
      <c r="AK150">
        <v>2</v>
      </c>
      <c r="AL150">
        <v>2</v>
      </c>
      <c r="AM150">
        <v>2</v>
      </c>
      <c r="AN150">
        <v>2</v>
      </c>
      <c r="AO150">
        <v>2</v>
      </c>
      <c r="AP150">
        <v>2</v>
      </c>
      <c r="AR150">
        <v>0</v>
      </c>
      <c r="AS150">
        <v>14</v>
      </c>
      <c r="AT150">
        <v>14</v>
      </c>
      <c r="AU150">
        <v>0</v>
      </c>
      <c r="AV150">
        <v>0</v>
      </c>
      <c r="AW150">
        <v>0</v>
      </c>
      <c r="AX150">
        <v>0</v>
      </c>
      <c r="AY150">
        <v>2</v>
      </c>
      <c r="AZ150">
        <v>0</v>
      </c>
      <c r="BA150">
        <v>30</v>
      </c>
      <c r="BM150">
        <v>2</v>
      </c>
      <c r="BN150">
        <v>282400</v>
      </c>
      <c r="BP150">
        <v>75000</v>
      </c>
      <c r="CI150">
        <v>473333</v>
      </c>
      <c r="CP150">
        <v>0</v>
      </c>
      <c r="CQ150">
        <v>0</v>
      </c>
      <c r="CR150">
        <v>0</v>
      </c>
    </row>
    <row r="151" spans="1:96" hidden="1" x14ac:dyDescent="0.3">
      <c r="A151">
        <v>150</v>
      </c>
      <c r="B151" t="s">
        <v>720</v>
      </c>
      <c r="C151">
        <v>19302584</v>
      </c>
      <c r="D151" t="s">
        <v>246</v>
      </c>
      <c r="E151" t="s">
        <v>721</v>
      </c>
      <c r="F151" t="s">
        <v>722</v>
      </c>
      <c r="G151" t="s">
        <v>723</v>
      </c>
      <c r="H151" s="1">
        <v>46054</v>
      </c>
      <c r="I151" t="s">
        <v>101</v>
      </c>
      <c r="J151" t="s">
        <v>102</v>
      </c>
      <c r="K151" t="s">
        <v>141</v>
      </c>
      <c r="L151">
        <v>1790000091</v>
      </c>
      <c r="M151">
        <v>3</v>
      </c>
      <c r="N151">
        <v>3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3</v>
      </c>
      <c r="AP151">
        <v>3</v>
      </c>
      <c r="AR151">
        <v>0</v>
      </c>
      <c r="AS151">
        <v>14</v>
      </c>
      <c r="AT151">
        <v>16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30</v>
      </c>
      <c r="CO151">
        <f>VLOOKUP(C151,'LOS HEROES'!$A$2:$D$30,4,0)</f>
        <v>197253</v>
      </c>
      <c r="CP151">
        <v>0</v>
      </c>
      <c r="CQ151">
        <v>0</v>
      </c>
      <c r="CR151">
        <v>0</v>
      </c>
    </row>
    <row r="152" spans="1:96" hidden="1" x14ac:dyDescent="0.3">
      <c r="A152">
        <v>151</v>
      </c>
      <c r="B152" t="s">
        <v>724</v>
      </c>
      <c r="C152">
        <v>19355560</v>
      </c>
      <c r="D152" t="s">
        <v>605</v>
      </c>
      <c r="E152" t="s">
        <v>725</v>
      </c>
      <c r="F152" t="s">
        <v>726</v>
      </c>
      <c r="G152" t="s">
        <v>160</v>
      </c>
      <c r="H152" s="1">
        <v>45987</v>
      </c>
      <c r="I152" t="s">
        <v>140</v>
      </c>
      <c r="J152" t="s">
        <v>102</v>
      </c>
      <c r="K152" t="s">
        <v>208</v>
      </c>
      <c r="L152">
        <v>1790000090</v>
      </c>
      <c r="M152">
        <v>2</v>
      </c>
      <c r="N152">
        <v>2</v>
      </c>
      <c r="O152">
        <v>8</v>
      </c>
      <c r="P152">
        <v>8</v>
      </c>
      <c r="Q152">
        <v>2</v>
      </c>
      <c r="R152">
        <v>2</v>
      </c>
      <c r="S152">
        <v>2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2</v>
      </c>
      <c r="AI152">
        <v>2</v>
      </c>
      <c r="AJ152">
        <v>2</v>
      </c>
      <c r="AK152">
        <v>2</v>
      </c>
      <c r="AL152">
        <v>2</v>
      </c>
      <c r="AM152">
        <v>2</v>
      </c>
      <c r="AN152">
        <v>2</v>
      </c>
      <c r="AO152">
        <v>2</v>
      </c>
      <c r="AP152">
        <v>2</v>
      </c>
      <c r="AR152">
        <v>0</v>
      </c>
      <c r="AS152">
        <v>14</v>
      </c>
      <c r="AT152">
        <v>14</v>
      </c>
      <c r="AU152">
        <v>0</v>
      </c>
      <c r="AV152">
        <v>0</v>
      </c>
      <c r="AW152">
        <v>0</v>
      </c>
      <c r="AX152">
        <v>0</v>
      </c>
      <c r="AY152">
        <v>2</v>
      </c>
      <c r="AZ152">
        <v>0</v>
      </c>
      <c r="BA152">
        <v>30</v>
      </c>
      <c r="BM152">
        <v>2</v>
      </c>
      <c r="BN152">
        <v>157000</v>
      </c>
      <c r="BP152">
        <v>75000</v>
      </c>
      <c r="CI152">
        <v>473333</v>
      </c>
      <c r="CK152">
        <v>706500</v>
      </c>
      <c r="CL152">
        <v>100000</v>
      </c>
      <c r="CP152">
        <v>0</v>
      </c>
      <c r="CQ152">
        <v>0</v>
      </c>
      <c r="CR152">
        <v>0</v>
      </c>
    </row>
    <row r="153" spans="1:96" x14ac:dyDescent="0.3">
      <c r="A153">
        <v>152</v>
      </c>
      <c r="B153" t="s">
        <v>727</v>
      </c>
      <c r="C153">
        <v>19398564</v>
      </c>
      <c r="D153" t="s">
        <v>728</v>
      </c>
      <c r="E153" t="s">
        <v>144</v>
      </c>
      <c r="F153" t="s">
        <v>729</v>
      </c>
      <c r="G153" t="s">
        <v>564</v>
      </c>
      <c r="H153" s="1">
        <v>45712</v>
      </c>
      <c r="I153" t="s">
        <v>101</v>
      </c>
      <c r="J153" t="s">
        <v>253</v>
      </c>
      <c r="K153" t="s">
        <v>127</v>
      </c>
      <c r="L153">
        <v>1790000088</v>
      </c>
      <c r="M153">
        <v>2</v>
      </c>
      <c r="N153">
        <v>2</v>
      </c>
      <c r="O153">
        <v>8</v>
      </c>
      <c r="P153">
        <v>8</v>
      </c>
      <c r="Q153">
        <v>2</v>
      </c>
      <c r="R153">
        <v>2</v>
      </c>
      <c r="S153">
        <v>2</v>
      </c>
      <c r="T153">
        <v>3</v>
      </c>
      <c r="U153">
        <v>3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2</v>
      </c>
      <c r="AI153">
        <v>2</v>
      </c>
      <c r="AJ153">
        <v>2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R153">
        <v>0</v>
      </c>
      <c r="AS153">
        <v>14</v>
      </c>
      <c r="AT153">
        <v>14</v>
      </c>
      <c r="AU153">
        <v>0</v>
      </c>
      <c r="AV153">
        <v>0</v>
      </c>
      <c r="AW153">
        <v>0</v>
      </c>
      <c r="AX153">
        <v>0</v>
      </c>
      <c r="AY153">
        <v>2</v>
      </c>
      <c r="AZ153">
        <v>0</v>
      </c>
      <c r="BA153">
        <v>30</v>
      </c>
      <c r="BM153">
        <v>2</v>
      </c>
      <c r="BN153">
        <v>448598</v>
      </c>
      <c r="BY153">
        <v>9400</v>
      </c>
      <c r="CP153">
        <v>0</v>
      </c>
      <c r="CQ153">
        <v>0</v>
      </c>
      <c r="CR153">
        <v>0</v>
      </c>
    </row>
    <row r="154" spans="1:96" x14ac:dyDescent="0.3">
      <c r="A154">
        <v>153</v>
      </c>
      <c r="B154" t="s">
        <v>730</v>
      </c>
      <c r="C154">
        <v>19445770</v>
      </c>
      <c r="D154" t="s">
        <v>731</v>
      </c>
      <c r="E154" t="s">
        <v>314</v>
      </c>
      <c r="F154" t="s">
        <v>732</v>
      </c>
      <c r="G154" t="s">
        <v>733</v>
      </c>
      <c r="H154" s="1"/>
      <c r="I154" t="s">
        <v>101</v>
      </c>
      <c r="J154" t="s">
        <v>253</v>
      </c>
      <c r="K154" t="s">
        <v>103</v>
      </c>
      <c r="L154">
        <v>1770000002</v>
      </c>
      <c r="M154">
        <v>1</v>
      </c>
      <c r="N154">
        <v>1</v>
      </c>
      <c r="O154">
        <v>3</v>
      </c>
      <c r="P154">
        <v>3</v>
      </c>
      <c r="Q154">
        <v>3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3</v>
      </c>
      <c r="X154">
        <v>3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3</v>
      </c>
      <c r="AE154">
        <v>3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3</v>
      </c>
      <c r="AL154">
        <v>3</v>
      </c>
      <c r="AM154">
        <v>1</v>
      </c>
      <c r="AN154">
        <v>1</v>
      </c>
      <c r="AO154">
        <v>1</v>
      </c>
      <c r="AP154">
        <v>1</v>
      </c>
      <c r="AR154">
        <v>21</v>
      </c>
      <c r="AS154">
        <v>0</v>
      </c>
      <c r="AT154">
        <v>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30</v>
      </c>
      <c r="BY154">
        <v>25100</v>
      </c>
      <c r="CP154">
        <v>0</v>
      </c>
      <c r="CQ154">
        <v>0</v>
      </c>
      <c r="CR154">
        <v>0</v>
      </c>
    </row>
    <row r="155" spans="1:96" hidden="1" x14ac:dyDescent="0.3">
      <c r="A155">
        <v>154</v>
      </c>
      <c r="B155" t="s">
        <v>734</v>
      </c>
      <c r="C155">
        <v>19507107</v>
      </c>
      <c r="D155" t="s">
        <v>143</v>
      </c>
      <c r="E155" t="s">
        <v>150</v>
      </c>
      <c r="F155" t="s">
        <v>735</v>
      </c>
      <c r="G155" t="s">
        <v>160</v>
      </c>
      <c r="H155" s="1">
        <v>46003</v>
      </c>
      <c r="I155" t="s">
        <v>140</v>
      </c>
      <c r="J155" t="s">
        <v>102</v>
      </c>
      <c r="K155" t="s">
        <v>147</v>
      </c>
      <c r="L155">
        <v>1790000090</v>
      </c>
      <c r="M155">
        <v>3</v>
      </c>
      <c r="N155">
        <v>3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3</v>
      </c>
      <c r="AI155">
        <v>3</v>
      </c>
      <c r="AJ155">
        <v>3</v>
      </c>
      <c r="AK155">
        <v>3</v>
      </c>
      <c r="AL155">
        <v>3</v>
      </c>
      <c r="AM155">
        <v>3</v>
      </c>
      <c r="AN155">
        <v>3</v>
      </c>
      <c r="AO155">
        <v>3</v>
      </c>
      <c r="AP155">
        <v>3</v>
      </c>
      <c r="AR155">
        <v>0</v>
      </c>
      <c r="AS155">
        <v>14</v>
      </c>
      <c r="AT155">
        <v>16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30</v>
      </c>
      <c r="BC155">
        <v>130833</v>
      </c>
      <c r="BD155" t="s">
        <v>148</v>
      </c>
      <c r="BK155">
        <v>150000</v>
      </c>
      <c r="BL155" t="s">
        <v>736</v>
      </c>
      <c r="BP155">
        <v>75000</v>
      </c>
      <c r="CI155">
        <v>473333</v>
      </c>
      <c r="CJ155">
        <v>213354</v>
      </c>
      <c r="CP155">
        <v>0</v>
      </c>
      <c r="CQ155">
        <v>0</v>
      </c>
      <c r="CR155">
        <v>0</v>
      </c>
    </row>
    <row r="156" spans="1:96" hidden="1" x14ac:dyDescent="0.3">
      <c r="A156">
        <v>155</v>
      </c>
      <c r="B156" t="s">
        <v>737</v>
      </c>
      <c r="C156">
        <v>19551679</v>
      </c>
      <c r="D156" t="s">
        <v>738</v>
      </c>
      <c r="E156" t="s">
        <v>143</v>
      </c>
      <c r="F156" t="s">
        <v>739</v>
      </c>
      <c r="G156" t="s">
        <v>740</v>
      </c>
      <c r="H156" s="1">
        <v>45839</v>
      </c>
      <c r="I156" t="s">
        <v>101</v>
      </c>
      <c r="J156" t="s">
        <v>102</v>
      </c>
      <c r="K156" t="s">
        <v>109</v>
      </c>
      <c r="L156">
        <v>1790000088</v>
      </c>
      <c r="M156">
        <v>1</v>
      </c>
      <c r="N156">
        <v>3</v>
      </c>
      <c r="O156">
        <v>3</v>
      </c>
      <c r="P156">
        <v>3</v>
      </c>
      <c r="AR156">
        <v>1</v>
      </c>
      <c r="AS156">
        <v>0</v>
      </c>
      <c r="AT156">
        <v>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4</v>
      </c>
      <c r="BM156">
        <v>0</v>
      </c>
      <c r="CP156">
        <v>0</v>
      </c>
      <c r="CQ156">
        <v>0</v>
      </c>
      <c r="CR156">
        <v>0</v>
      </c>
    </row>
    <row r="157" spans="1:96" x14ac:dyDescent="0.3">
      <c r="A157">
        <v>156</v>
      </c>
      <c r="B157" t="s">
        <v>741</v>
      </c>
      <c r="C157">
        <v>19588589</v>
      </c>
      <c r="D157" t="s">
        <v>742</v>
      </c>
      <c r="E157" t="s">
        <v>743</v>
      </c>
      <c r="F157" t="s">
        <v>744</v>
      </c>
      <c r="G157" t="s">
        <v>745</v>
      </c>
      <c r="H157" s="1">
        <v>45967</v>
      </c>
      <c r="I157" t="s">
        <v>101</v>
      </c>
      <c r="J157" t="s">
        <v>102</v>
      </c>
      <c r="K157" t="s">
        <v>208</v>
      </c>
      <c r="L157">
        <v>1790000090</v>
      </c>
      <c r="M157">
        <v>2</v>
      </c>
      <c r="N157">
        <v>2</v>
      </c>
      <c r="O157">
        <v>8</v>
      </c>
      <c r="P157">
        <v>8</v>
      </c>
      <c r="Q157">
        <v>2</v>
      </c>
      <c r="R157">
        <v>2</v>
      </c>
      <c r="S157">
        <v>2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3</v>
      </c>
      <c r="AF157">
        <v>3</v>
      </c>
      <c r="AG157">
        <v>3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2</v>
      </c>
      <c r="AO157">
        <v>2</v>
      </c>
      <c r="AP157">
        <v>2</v>
      </c>
      <c r="AR157">
        <v>0</v>
      </c>
      <c r="AS157">
        <v>14</v>
      </c>
      <c r="AT157">
        <v>14</v>
      </c>
      <c r="AU157">
        <v>0</v>
      </c>
      <c r="AV157">
        <v>0</v>
      </c>
      <c r="AW157">
        <v>0</v>
      </c>
      <c r="AX157">
        <v>0</v>
      </c>
      <c r="AY157">
        <v>2</v>
      </c>
      <c r="AZ157">
        <v>0</v>
      </c>
      <c r="BA157">
        <v>30</v>
      </c>
      <c r="BC157">
        <v>1670666</v>
      </c>
      <c r="BD157" t="s">
        <v>746</v>
      </c>
      <c r="BM157">
        <v>2</v>
      </c>
      <c r="BN157">
        <v>358000</v>
      </c>
      <c r="BY157">
        <v>27794</v>
      </c>
      <c r="CI157">
        <v>473333</v>
      </c>
      <c r="CP157">
        <v>0</v>
      </c>
      <c r="CQ157">
        <v>0</v>
      </c>
      <c r="CR157">
        <v>0</v>
      </c>
    </row>
    <row r="158" spans="1:96" x14ac:dyDescent="0.3">
      <c r="A158">
        <v>157</v>
      </c>
      <c r="B158" t="s">
        <v>747</v>
      </c>
      <c r="C158">
        <v>19663706</v>
      </c>
      <c r="D158" t="s">
        <v>748</v>
      </c>
      <c r="E158" t="s">
        <v>749</v>
      </c>
      <c r="F158" t="s">
        <v>750</v>
      </c>
      <c r="G158" t="s">
        <v>160</v>
      </c>
      <c r="H158" s="1">
        <v>45820</v>
      </c>
      <c r="I158" t="s">
        <v>140</v>
      </c>
      <c r="J158" t="s">
        <v>102</v>
      </c>
      <c r="K158" t="s">
        <v>127</v>
      </c>
      <c r="L158">
        <v>1790000088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AR158">
        <v>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11</v>
      </c>
      <c r="BM158">
        <v>0</v>
      </c>
      <c r="BY158">
        <v>15002</v>
      </c>
      <c r="CP158">
        <v>0</v>
      </c>
      <c r="CQ158">
        <v>0</v>
      </c>
      <c r="CR158">
        <v>0</v>
      </c>
    </row>
    <row r="159" spans="1:96" hidden="1" x14ac:dyDescent="0.3">
      <c r="A159">
        <v>158</v>
      </c>
      <c r="B159" t="s">
        <v>751</v>
      </c>
      <c r="C159">
        <v>19712640</v>
      </c>
      <c r="D159" t="s">
        <v>143</v>
      </c>
      <c r="E159" t="s">
        <v>752</v>
      </c>
      <c r="F159" t="s">
        <v>753</v>
      </c>
      <c r="G159" t="s">
        <v>472</v>
      </c>
      <c r="H159" s="1">
        <v>45995</v>
      </c>
      <c r="I159" t="s">
        <v>101</v>
      </c>
      <c r="J159" t="s">
        <v>102</v>
      </c>
      <c r="K159" t="s">
        <v>243</v>
      </c>
      <c r="L159">
        <v>1790000090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2</v>
      </c>
      <c r="AI159">
        <v>2</v>
      </c>
      <c r="AJ159">
        <v>2</v>
      </c>
      <c r="AK159">
        <v>2</v>
      </c>
      <c r="AL159">
        <v>2</v>
      </c>
      <c r="AM159">
        <v>2</v>
      </c>
      <c r="AN159">
        <v>2</v>
      </c>
      <c r="AO159">
        <v>2</v>
      </c>
      <c r="AP159">
        <v>2</v>
      </c>
      <c r="AR159">
        <v>0</v>
      </c>
      <c r="AS159">
        <v>9</v>
      </c>
      <c r="AT159">
        <v>14</v>
      </c>
      <c r="AU159">
        <v>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23</v>
      </c>
      <c r="CI159">
        <v>473333</v>
      </c>
      <c r="CP159">
        <v>0</v>
      </c>
      <c r="CQ159">
        <v>0</v>
      </c>
      <c r="CR159">
        <v>0</v>
      </c>
    </row>
    <row r="160" spans="1:96" hidden="1" x14ac:dyDescent="0.3">
      <c r="A160">
        <v>159</v>
      </c>
      <c r="B160" t="s">
        <v>754</v>
      </c>
      <c r="C160">
        <v>19809697</v>
      </c>
      <c r="D160" t="s">
        <v>755</v>
      </c>
      <c r="E160" t="s">
        <v>756</v>
      </c>
      <c r="F160" t="s">
        <v>757</v>
      </c>
      <c r="G160" t="s">
        <v>745</v>
      </c>
      <c r="H160" s="1">
        <v>45962</v>
      </c>
      <c r="I160" t="s">
        <v>101</v>
      </c>
      <c r="J160" t="s">
        <v>253</v>
      </c>
      <c r="K160" t="s">
        <v>272</v>
      </c>
      <c r="L160">
        <v>1790000090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4</v>
      </c>
      <c r="AD160">
        <v>4</v>
      </c>
      <c r="AE160">
        <v>4</v>
      </c>
      <c r="AF160">
        <v>4</v>
      </c>
      <c r="AG160">
        <v>4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3</v>
      </c>
      <c r="AR160">
        <v>0</v>
      </c>
      <c r="AS160">
        <v>0</v>
      </c>
      <c r="AT160">
        <v>1</v>
      </c>
      <c r="AU160">
        <v>21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6</v>
      </c>
      <c r="BE160">
        <v>102000</v>
      </c>
      <c r="BF160" t="s">
        <v>273</v>
      </c>
      <c r="CH160" t="s">
        <v>758</v>
      </c>
      <c r="CI160">
        <v>473333</v>
      </c>
      <c r="CP160">
        <v>0</v>
      </c>
      <c r="CQ160">
        <v>0</v>
      </c>
      <c r="CR160">
        <v>0</v>
      </c>
    </row>
    <row r="161" spans="1:96" hidden="1" x14ac:dyDescent="0.3">
      <c r="A161">
        <v>160</v>
      </c>
      <c r="B161" t="s">
        <v>759</v>
      </c>
      <c r="C161">
        <v>19815369</v>
      </c>
      <c r="D161" t="s">
        <v>760</v>
      </c>
      <c r="E161" t="s">
        <v>230</v>
      </c>
      <c r="F161" t="s">
        <v>761</v>
      </c>
      <c r="G161" t="s">
        <v>146</v>
      </c>
      <c r="H161" s="1">
        <v>46041</v>
      </c>
      <c r="I161" t="s">
        <v>140</v>
      </c>
      <c r="J161" t="s">
        <v>102</v>
      </c>
      <c r="K161" t="s">
        <v>147</v>
      </c>
      <c r="L161">
        <v>1790000090</v>
      </c>
      <c r="M161">
        <v>3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R161">
        <v>0</v>
      </c>
      <c r="AS161">
        <v>14</v>
      </c>
      <c r="AT161">
        <v>16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30</v>
      </c>
      <c r="BC161">
        <v>235333</v>
      </c>
      <c r="BD161" t="s">
        <v>148</v>
      </c>
      <c r="BP161">
        <v>75000</v>
      </c>
      <c r="CI161">
        <v>473333</v>
      </c>
      <c r="CP161">
        <v>0</v>
      </c>
      <c r="CQ161">
        <v>0</v>
      </c>
      <c r="CR161">
        <v>0</v>
      </c>
    </row>
    <row r="162" spans="1:96" hidden="1" x14ac:dyDescent="0.3">
      <c r="A162">
        <v>161</v>
      </c>
      <c r="B162" t="s">
        <v>762</v>
      </c>
      <c r="C162">
        <v>19863925</v>
      </c>
      <c r="D162" t="s">
        <v>676</v>
      </c>
      <c r="E162" t="s">
        <v>763</v>
      </c>
      <c r="F162" t="s">
        <v>764</v>
      </c>
      <c r="G162" t="s">
        <v>659</v>
      </c>
      <c r="H162" s="1">
        <v>45957</v>
      </c>
      <c r="I162" t="s">
        <v>101</v>
      </c>
      <c r="J162" t="s">
        <v>253</v>
      </c>
      <c r="K162" t="s">
        <v>279</v>
      </c>
      <c r="L162">
        <v>1790000090</v>
      </c>
      <c r="M162">
        <v>3</v>
      </c>
      <c r="N162">
        <v>3</v>
      </c>
      <c r="O162">
        <v>3</v>
      </c>
      <c r="P162">
        <v>3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3</v>
      </c>
      <c r="W162">
        <v>3</v>
      </c>
      <c r="X162">
        <v>3</v>
      </c>
      <c r="Y162">
        <v>3</v>
      </c>
      <c r="Z162">
        <v>3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3</v>
      </c>
      <c r="AP162">
        <v>3</v>
      </c>
      <c r="AR162">
        <v>0</v>
      </c>
      <c r="AS162">
        <v>0</v>
      </c>
      <c r="AT162">
        <v>16</v>
      </c>
      <c r="AU162">
        <v>14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16</v>
      </c>
      <c r="CI162">
        <v>473333</v>
      </c>
      <c r="CK162">
        <v>232000</v>
      </c>
      <c r="CP162">
        <v>0</v>
      </c>
      <c r="CQ162">
        <v>0</v>
      </c>
      <c r="CR162">
        <v>0</v>
      </c>
    </row>
    <row r="163" spans="1:96" hidden="1" x14ac:dyDescent="0.3">
      <c r="A163">
        <v>162</v>
      </c>
      <c r="B163" t="s">
        <v>765</v>
      </c>
      <c r="C163">
        <v>19924867</v>
      </c>
      <c r="D163" t="s">
        <v>766</v>
      </c>
      <c r="E163" t="s">
        <v>226</v>
      </c>
      <c r="F163" t="s">
        <v>767</v>
      </c>
      <c r="G163" t="s">
        <v>489</v>
      </c>
      <c r="H163" s="1">
        <v>45839</v>
      </c>
      <c r="I163" t="s">
        <v>140</v>
      </c>
      <c r="J163" t="s">
        <v>102</v>
      </c>
      <c r="K163" t="s">
        <v>190</v>
      </c>
      <c r="L163">
        <v>1790000088</v>
      </c>
      <c r="M163">
        <v>3</v>
      </c>
      <c r="N163">
        <v>3</v>
      </c>
      <c r="O163">
        <v>3</v>
      </c>
      <c r="P163">
        <v>3</v>
      </c>
      <c r="Q163">
        <v>3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3</v>
      </c>
      <c r="AI163">
        <v>3</v>
      </c>
      <c r="AJ163">
        <v>3</v>
      </c>
      <c r="AK163">
        <v>3</v>
      </c>
      <c r="AL163">
        <v>3</v>
      </c>
      <c r="AM163">
        <v>3</v>
      </c>
      <c r="AN163">
        <v>3</v>
      </c>
      <c r="AO163">
        <v>3</v>
      </c>
      <c r="AP163">
        <v>3</v>
      </c>
      <c r="AR163">
        <v>0</v>
      </c>
      <c r="AS163">
        <v>16</v>
      </c>
      <c r="AT163">
        <v>14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30</v>
      </c>
      <c r="BE163">
        <v>255000</v>
      </c>
      <c r="BM163">
        <v>0</v>
      </c>
      <c r="CP163">
        <v>0</v>
      </c>
      <c r="CQ163">
        <v>0</v>
      </c>
      <c r="CR163">
        <v>0</v>
      </c>
    </row>
    <row r="164" spans="1:96" hidden="1" x14ac:dyDescent="0.3">
      <c r="A164">
        <v>163</v>
      </c>
      <c r="B164" t="s">
        <v>768</v>
      </c>
      <c r="C164">
        <v>19967782</v>
      </c>
      <c r="D164" t="s">
        <v>396</v>
      </c>
      <c r="E164" t="s">
        <v>143</v>
      </c>
      <c r="F164" t="s">
        <v>769</v>
      </c>
      <c r="G164" t="s">
        <v>770</v>
      </c>
      <c r="H164" s="1">
        <v>45820</v>
      </c>
      <c r="I164" t="s">
        <v>140</v>
      </c>
      <c r="J164" t="s">
        <v>102</v>
      </c>
      <c r="K164" t="s">
        <v>196</v>
      </c>
      <c r="L164">
        <v>1790000088</v>
      </c>
      <c r="M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M164">
        <v>0</v>
      </c>
      <c r="CP164">
        <v>0</v>
      </c>
      <c r="CQ164">
        <v>0</v>
      </c>
      <c r="CR164">
        <v>0</v>
      </c>
    </row>
    <row r="165" spans="1:96" hidden="1" x14ac:dyDescent="0.3">
      <c r="A165">
        <v>164</v>
      </c>
      <c r="B165" t="s">
        <v>771</v>
      </c>
      <c r="C165">
        <v>20006272</v>
      </c>
      <c r="D165" t="s">
        <v>772</v>
      </c>
      <c r="E165" t="s">
        <v>773</v>
      </c>
      <c r="F165" t="s">
        <v>774</v>
      </c>
      <c r="G165" t="s">
        <v>233</v>
      </c>
      <c r="H165" s="1">
        <v>46004</v>
      </c>
      <c r="I165" t="s">
        <v>140</v>
      </c>
      <c r="J165" t="s">
        <v>102</v>
      </c>
      <c r="K165" t="s">
        <v>243</v>
      </c>
      <c r="L165">
        <v>1790000090</v>
      </c>
      <c r="M165">
        <v>2</v>
      </c>
      <c r="N165">
        <v>2</v>
      </c>
      <c r="O165">
        <v>8</v>
      </c>
      <c r="P165">
        <v>8</v>
      </c>
      <c r="Q165">
        <v>2</v>
      </c>
      <c r="R165">
        <v>2</v>
      </c>
      <c r="S165">
        <v>2</v>
      </c>
      <c r="T165">
        <v>3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3</v>
      </c>
      <c r="AA165">
        <v>3</v>
      </c>
      <c r="AB165">
        <v>3</v>
      </c>
      <c r="AC165">
        <v>3</v>
      </c>
      <c r="AD165">
        <v>3</v>
      </c>
      <c r="AE165">
        <v>3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R165">
        <v>0</v>
      </c>
      <c r="AS165">
        <v>14</v>
      </c>
      <c r="AT165">
        <v>14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0</v>
      </c>
      <c r="BA165">
        <v>30</v>
      </c>
      <c r="BM165">
        <v>2</v>
      </c>
      <c r="BN165">
        <v>180000</v>
      </c>
      <c r="BP165">
        <v>75000</v>
      </c>
      <c r="CI165">
        <v>473333</v>
      </c>
      <c r="CK165">
        <v>810000</v>
      </c>
      <c r="CL165">
        <v>100000</v>
      </c>
      <c r="CP165">
        <v>0</v>
      </c>
      <c r="CQ165">
        <v>0</v>
      </c>
      <c r="CR165">
        <v>0</v>
      </c>
    </row>
    <row r="166" spans="1:96" hidden="1" x14ac:dyDescent="0.3">
      <c r="A166">
        <v>165</v>
      </c>
      <c r="B166" t="s">
        <v>775</v>
      </c>
      <c r="C166">
        <v>20051179</v>
      </c>
      <c r="D166" t="s">
        <v>776</v>
      </c>
      <c r="E166" t="s">
        <v>157</v>
      </c>
      <c r="F166" t="s">
        <v>777</v>
      </c>
      <c r="G166" t="s">
        <v>778</v>
      </c>
      <c r="H166" s="1">
        <v>46113</v>
      </c>
      <c r="I166" t="s">
        <v>140</v>
      </c>
      <c r="J166" t="s">
        <v>102</v>
      </c>
      <c r="K166" t="s">
        <v>103</v>
      </c>
      <c r="L166">
        <v>1790000088</v>
      </c>
      <c r="M166">
        <v>1</v>
      </c>
      <c r="N166">
        <v>1</v>
      </c>
      <c r="O166">
        <v>3</v>
      </c>
      <c r="P166">
        <v>3</v>
      </c>
      <c r="Q166">
        <v>3</v>
      </c>
      <c r="R166">
        <v>1</v>
      </c>
      <c r="S166">
        <v>3</v>
      </c>
      <c r="T166">
        <v>3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3</v>
      </c>
      <c r="AA166">
        <v>3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3</v>
      </c>
      <c r="AH166">
        <v>3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R166">
        <v>21</v>
      </c>
      <c r="AS166">
        <v>0</v>
      </c>
      <c r="AT166">
        <v>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30</v>
      </c>
      <c r="CO166">
        <f>VLOOKUP(C166,'LOS HEROES'!$A$2:$D$30,4,0)</f>
        <v>5522</v>
      </c>
      <c r="CP166">
        <v>0</v>
      </c>
      <c r="CQ166">
        <v>0</v>
      </c>
      <c r="CR166">
        <v>0</v>
      </c>
    </row>
    <row r="167" spans="1:96" hidden="1" x14ac:dyDescent="0.3">
      <c r="A167">
        <v>166</v>
      </c>
      <c r="B167" t="s">
        <v>779</v>
      </c>
      <c r="C167">
        <v>20091945</v>
      </c>
      <c r="D167" t="s">
        <v>320</v>
      </c>
      <c r="E167" t="s">
        <v>403</v>
      </c>
      <c r="F167" t="s">
        <v>780</v>
      </c>
      <c r="G167" t="s">
        <v>781</v>
      </c>
      <c r="H167" s="1"/>
      <c r="I167" t="s">
        <v>101</v>
      </c>
      <c r="J167" t="s">
        <v>253</v>
      </c>
      <c r="K167" t="s">
        <v>103</v>
      </c>
      <c r="L167">
        <v>1790000091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4</v>
      </c>
      <c r="AJ167">
        <v>4</v>
      </c>
      <c r="AK167">
        <v>4</v>
      </c>
      <c r="AL167">
        <v>4</v>
      </c>
      <c r="AM167">
        <v>4</v>
      </c>
      <c r="AN167">
        <v>4</v>
      </c>
      <c r="AO167">
        <v>4</v>
      </c>
      <c r="AP167">
        <v>4</v>
      </c>
      <c r="AR167">
        <v>0</v>
      </c>
      <c r="AS167">
        <v>0</v>
      </c>
      <c r="AT167">
        <v>0</v>
      </c>
      <c r="AU167">
        <v>30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CP167">
        <v>0</v>
      </c>
      <c r="CQ167">
        <v>0</v>
      </c>
      <c r="CR167">
        <v>0</v>
      </c>
    </row>
    <row r="168" spans="1:96" hidden="1" x14ac:dyDescent="0.3">
      <c r="A168">
        <v>167</v>
      </c>
      <c r="B168" t="s">
        <v>782</v>
      </c>
      <c r="C168">
        <v>20229876</v>
      </c>
      <c r="D168" t="s">
        <v>783</v>
      </c>
      <c r="E168" t="s">
        <v>784</v>
      </c>
      <c r="F168" t="s">
        <v>785</v>
      </c>
      <c r="G168" t="s">
        <v>160</v>
      </c>
      <c r="H168" s="1">
        <v>45987</v>
      </c>
      <c r="I168" t="s">
        <v>140</v>
      </c>
      <c r="J168" t="s">
        <v>102</v>
      </c>
      <c r="K168" t="s">
        <v>208</v>
      </c>
      <c r="L168">
        <v>1790000090</v>
      </c>
      <c r="M168">
        <v>2</v>
      </c>
      <c r="N168">
        <v>2</v>
      </c>
      <c r="O168">
        <v>8</v>
      </c>
      <c r="P168">
        <v>8</v>
      </c>
      <c r="Q168">
        <v>2</v>
      </c>
      <c r="R168">
        <v>2</v>
      </c>
      <c r="S168">
        <v>2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R168">
        <v>0</v>
      </c>
      <c r="AS168">
        <v>5</v>
      </c>
      <c r="AT168">
        <v>14</v>
      </c>
      <c r="AU168">
        <v>0</v>
      </c>
      <c r="AV168">
        <v>0</v>
      </c>
      <c r="AW168">
        <v>0</v>
      </c>
      <c r="AX168">
        <v>0</v>
      </c>
      <c r="AY168">
        <v>2</v>
      </c>
      <c r="AZ168">
        <v>0</v>
      </c>
      <c r="BA168">
        <v>21</v>
      </c>
      <c r="BM168">
        <v>2</v>
      </c>
      <c r="BN168">
        <v>157000</v>
      </c>
      <c r="BP168">
        <v>52500</v>
      </c>
      <c r="CI168">
        <v>315555</v>
      </c>
      <c r="CP168">
        <v>0</v>
      </c>
      <c r="CQ168">
        <v>0</v>
      </c>
      <c r="CR168">
        <v>0</v>
      </c>
    </row>
    <row r="169" spans="1:96" x14ac:dyDescent="0.3">
      <c r="A169">
        <v>168</v>
      </c>
      <c r="B169" t="s">
        <v>786</v>
      </c>
      <c r="C169">
        <v>20248225</v>
      </c>
      <c r="D169" t="s">
        <v>626</v>
      </c>
      <c r="E169" t="s">
        <v>787</v>
      </c>
      <c r="F169" t="s">
        <v>788</v>
      </c>
      <c r="G169" t="s">
        <v>139</v>
      </c>
      <c r="H169" s="1">
        <v>46096</v>
      </c>
      <c r="I169" t="s">
        <v>140</v>
      </c>
      <c r="J169" t="s">
        <v>102</v>
      </c>
      <c r="K169" t="s">
        <v>141</v>
      </c>
      <c r="L169">
        <v>1790000091</v>
      </c>
      <c r="M169">
        <v>3</v>
      </c>
      <c r="N169">
        <v>3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2</v>
      </c>
      <c r="AI169">
        <v>2</v>
      </c>
      <c r="AJ169">
        <v>2</v>
      </c>
      <c r="AK169">
        <v>2</v>
      </c>
      <c r="AL169">
        <v>2</v>
      </c>
      <c r="AM169">
        <v>2</v>
      </c>
      <c r="AN169">
        <v>2</v>
      </c>
      <c r="AO169">
        <v>3</v>
      </c>
      <c r="AP169">
        <v>3</v>
      </c>
      <c r="AR169">
        <v>0</v>
      </c>
      <c r="AS169">
        <v>14</v>
      </c>
      <c r="AT169">
        <v>16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30</v>
      </c>
      <c r="BY169">
        <v>50000</v>
      </c>
      <c r="CP169">
        <v>0</v>
      </c>
      <c r="CQ169">
        <v>0</v>
      </c>
      <c r="CR169">
        <v>0</v>
      </c>
    </row>
    <row r="170" spans="1:96" x14ac:dyDescent="0.3">
      <c r="A170">
        <v>169</v>
      </c>
      <c r="B170" t="s">
        <v>789</v>
      </c>
      <c r="C170">
        <v>20262451</v>
      </c>
      <c r="D170" t="s">
        <v>215</v>
      </c>
      <c r="E170" t="s">
        <v>790</v>
      </c>
      <c r="F170" t="s">
        <v>791</v>
      </c>
      <c r="G170" t="s">
        <v>472</v>
      </c>
      <c r="H170" s="1">
        <v>46096</v>
      </c>
      <c r="I170" t="s">
        <v>140</v>
      </c>
      <c r="J170" t="s">
        <v>102</v>
      </c>
      <c r="K170" t="s">
        <v>141</v>
      </c>
      <c r="L170">
        <v>1790000091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3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3</v>
      </c>
      <c r="AB170">
        <v>3</v>
      </c>
      <c r="AC170">
        <v>3</v>
      </c>
      <c r="AD170">
        <v>3</v>
      </c>
      <c r="AE170">
        <v>3</v>
      </c>
      <c r="AF170">
        <v>3</v>
      </c>
      <c r="AG170">
        <v>3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3</v>
      </c>
      <c r="AP170">
        <v>3</v>
      </c>
      <c r="AR170">
        <v>0</v>
      </c>
      <c r="AS170">
        <v>14</v>
      </c>
      <c r="AT170">
        <v>16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30</v>
      </c>
      <c r="BY170">
        <v>50000</v>
      </c>
      <c r="CP170">
        <v>0</v>
      </c>
      <c r="CQ170">
        <v>0</v>
      </c>
      <c r="CR170">
        <v>0</v>
      </c>
    </row>
    <row r="171" spans="1:96" hidden="1" x14ac:dyDescent="0.3">
      <c r="A171">
        <v>170</v>
      </c>
      <c r="B171" t="s">
        <v>792</v>
      </c>
      <c r="C171">
        <v>20308051</v>
      </c>
      <c r="D171" t="s">
        <v>793</v>
      </c>
      <c r="E171" t="s">
        <v>230</v>
      </c>
      <c r="F171" t="s">
        <v>794</v>
      </c>
      <c r="G171" t="s">
        <v>778</v>
      </c>
      <c r="H171" s="1">
        <v>46113</v>
      </c>
      <c r="I171" t="s">
        <v>140</v>
      </c>
      <c r="J171" t="s">
        <v>102</v>
      </c>
      <c r="K171" t="s">
        <v>103</v>
      </c>
      <c r="L171">
        <v>1790000088</v>
      </c>
      <c r="M171">
        <v>1</v>
      </c>
      <c r="N171">
        <v>1</v>
      </c>
      <c r="O171">
        <v>3</v>
      </c>
      <c r="P171">
        <v>3</v>
      </c>
      <c r="Q171">
        <v>3</v>
      </c>
      <c r="R171">
        <v>1</v>
      </c>
      <c r="S171">
        <v>3</v>
      </c>
      <c r="T171">
        <v>3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3</v>
      </c>
      <c r="AA171">
        <v>3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3</v>
      </c>
      <c r="AH171">
        <v>3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R171">
        <v>21</v>
      </c>
      <c r="AS171">
        <v>0</v>
      </c>
      <c r="AT171">
        <v>9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30</v>
      </c>
      <c r="CP171">
        <v>0</v>
      </c>
      <c r="CQ171">
        <v>0</v>
      </c>
      <c r="CR171">
        <v>0</v>
      </c>
    </row>
    <row r="172" spans="1:96" hidden="1" x14ac:dyDescent="0.3">
      <c r="A172">
        <v>171</v>
      </c>
      <c r="B172" t="s">
        <v>795</v>
      </c>
      <c r="C172">
        <v>20308932</v>
      </c>
      <c r="D172" t="s">
        <v>403</v>
      </c>
      <c r="E172" t="s">
        <v>259</v>
      </c>
      <c r="F172" t="s">
        <v>796</v>
      </c>
      <c r="G172" t="s">
        <v>233</v>
      </c>
      <c r="H172" s="1">
        <v>45987</v>
      </c>
      <c r="I172" t="s">
        <v>140</v>
      </c>
      <c r="J172" t="s">
        <v>102</v>
      </c>
      <c r="K172" t="s">
        <v>208</v>
      </c>
      <c r="L172">
        <v>1790000090</v>
      </c>
      <c r="M172">
        <v>2</v>
      </c>
      <c r="N172">
        <v>2</v>
      </c>
      <c r="O172">
        <v>8</v>
      </c>
      <c r="P172">
        <v>8</v>
      </c>
      <c r="Q172">
        <v>2</v>
      </c>
      <c r="R172">
        <v>2</v>
      </c>
      <c r="S172">
        <v>2</v>
      </c>
      <c r="T172">
        <v>3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3</v>
      </c>
      <c r="AE172">
        <v>3</v>
      </c>
      <c r="AF172">
        <v>3</v>
      </c>
      <c r="AG172">
        <v>3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R172">
        <v>0</v>
      </c>
      <c r="AS172">
        <v>14</v>
      </c>
      <c r="AT172">
        <v>14</v>
      </c>
      <c r="AU172">
        <v>0</v>
      </c>
      <c r="AV172">
        <v>0</v>
      </c>
      <c r="AW172">
        <v>0</v>
      </c>
      <c r="AX172">
        <v>0</v>
      </c>
      <c r="AY172">
        <v>2</v>
      </c>
      <c r="AZ172">
        <v>0</v>
      </c>
      <c r="BA172">
        <v>30</v>
      </c>
      <c r="BM172">
        <v>2</v>
      </c>
      <c r="BN172">
        <v>180000</v>
      </c>
      <c r="BP172">
        <v>75000</v>
      </c>
      <c r="CI172">
        <v>473333</v>
      </c>
      <c r="CP172">
        <v>0</v>
      </c>
      <c r="CQ172">
        <v>0</v>
      </c>
      <c r="CR172">
        <v>0</v>
      </c>
    </row>
    <row r="173" spans="1:96" hidden="1" x14ac:dyDescent="0.3">
      <c r="A173">
        <v>172</v>
      </c>
      <c r="B173" t="s">
        <v>797</v>
      </c>
      <c r="C173">
        <v>20400413</v>
      </c>
      <c r="D173" t="s">
        <v>798</v>
      </c>
      <c r="E173" t="s">
        <v>799</v>
      </c>
      <c r="F173" t="s">
        <v>800</v>
      </c>
      <c r="G173" t="s">
        <v>139</v>
      </c>
      <c r="H173" s="1">
        <v>46096</v>
      </c>
      <c r="I173" t="s">
        <v>140</v>
      </c>
      <c r="J173" t="s">
        <v>102</v>
      </c>
      <c r="K173" t="s">
        <v>141</v>
      </c>
      <c r="L173">
        <v>1790000091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3</v>
      </c>
      <c r="AB173">
        <v>3</v>
      </c>
      <c r="AC173">
        <v>3</v>
      </c>
      <c r="AD173">
        <v>3</v>
      </c>
      <c r="AE173">
        <v>3</v>
      </c>
      <c r="AF173">
        <v>3</v>
      </c>
      <c r="AG173">
        <v>3</v>
      </c>
      <c r="AH173">
        <v>2</v>
      </c>
      <c r="AI173">
        <v>2</v>
      </c>
      <c r="AJ173">
        <v>2</v>
      </c>
      <c r="AK173">
        <v>2</v>
      </c>
      <c r="AL173">
        <v>2</v>
      </c>
      <c r="AM173">
        <v>2</v>
      </c>
      <c r="AN173">
        <v>2</v>
      </c>
      <c r="AO173">
        <v>3</v>
      </c>
      <c r="AP173">
        <v>3</v>
      </c>
      <c r="AR173">
        <v>0</v>
      </c>
      <c r="AS173">
        <v>14</v>
      </c>
      <c r="AT173">
        <v>16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30</v>
      </c>
      <c r="CP173">
        <v>0</v>
      </c>
      <c r="CQ173">
        <v>0</v>
      </c>
      <c r="CR173">
        <v>0</v>
      </c>
    </row>
    <row r="174" spans="1:96" hidden="1" x14ac:dyDescent="0.3">
      <c r="A174">
        <v>173</v>
      </c>
      <c r="B174" t="s">
        <v>801</v>
      </c>
      <c r="C174">
        <v>20406991</v>
      </c>
      <c r="D174" t="s">
        <v>385</v>
      </c>
      <c r="E174" t="s">
        <v>246</v>
      </c>
      <c r="F174" t="s">
        <v>802</v>
      </c>
      <c r="G174" t="s">
        <v>719</v>
      </c>
      <c r="H174" s="1">
        <v>45992</v>
      </c>
      <c r="I174" t="s">
        <v>101</v>
      </c>
      <c r="J174" t="s">
        <v>102</v>
      </c>
      <c r="K174" t="s">
        <v>272</v>
      </c>
      <c r="L174">
        <v>1790000090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2</v>
      </c>
      <c r="AG174">
        <v>2</v>
      </c>
      <c r="AH174">
        <v>3</v>
      </c>
      <c r="AI174">
        <v>3</v>
      </c>
      <c r="AJ174">
        <v>3</v>
      </c>
      <c r="AK174">
        <v>3</v>
      </c>
      <c r="AL174">
        <v>3</v>
      </c>
      <c r="AM174">
        <v>3</v>
      </c>
      <c r="AN174">
        <v>3</v>
      </c>
      <c r="AO174">
        <v>3</v>
      </c>
      <c r="AP174">
        <v>3</v>
      </c>
      <c r="AR174">
        <v>0</v>
      </c>
      <c r="AS174">
        <v>14</v>
      </c>
      <c r="AT174">
        <v>16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30</v>
      </c>
      <c r="BC174">
        <v>235333</v>
      </c>
      <c r="BD174" t="s">
        <v>148</v>
      </c>
      <c r="BP174">
        <v>75000</v>
      </c>
      <c r="CI174">
        <v>473333</v>
      </c>
      <c r="CP174">
        <v>0</v>
      </c>
      <c r="CQ174">
        <v>0</v>
      </c>
      <c r="CR174">
        <v>0</v>
      </c>
    </row>
    <row r="175" spans="1:96" hidden="1" x14ac:dyDescent="0.3">
      <c r="A175">
        <v>174</v>
      </c>
      <c r="B175" t="s">
        <v>803</v>
      </c>
      <c r="C175">
        <v>20501895</v>
      </c>
      <c r="D175" t="s">
        <v>150</v>
      </c>
      <c r="E175" t="s">
        <v>435</v>
      </c>
      <c r="F175" t="s">
        <v>804</v>
      </c>
      <c r="G175" t="s">
        <v>576</v>
      </c>
      <c r="H175" s="1">
        <v>45981</v>
      </c>
      <c r="I175" t="s">
        <v>140</v>
      </c>
      <c r="J175" t="s">
        <v>102</v>
      </c>
      <c r="K175" t="s">
        <v>208</v>
      </c>
      <c r="L175">
        <v>1790000090</v>
      </c>
      <c r="M175">
        <v>2</v>
      </c>
      <c r="N175">
        <v>2</v>
      </c>
      <c r="O175">
        <v>8</v>
      </c>
      <c r="P175">
        <v>8</v>
      </c>
      <c r="Q175">
        <v>2</v>
      </c>
      <c r="R175">
        <v>2</v>
      </c>
      <c r="S175">
        <v>2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R175">
        <v>0</v>
      </c>
      <c r="AS175">
        <v>5</v>
      </c>
      <c r="AT175">
        <v>14</v>
      </c>
      <c r="AU175">
        <v>0</v>
      </c>
      <c r="AV175">
        <v>0</v>
      </c>
      <c r="AW175">
        <v>0</v>
      </c>
      <c r="AX175">
        <v>0</v>
      </c>
      <c r="AY175">
        <v>2</v>
      </c>
      <c r="AZ175">
        <v>0</v>
      </c>
      <c r="BA175">
        <v>21</v>
      </c>
      <c r="BE175">
        <v>43750</v>
      </c>
      <c r="BF175" t="s">
        <v>577</v>
      </c>
      <c r="BM175">
        <v>2</v>
      </c>
      <c r="BN175">
        <v>169500</v>
      </c>
      <c r="BP175">
        <v>52500</v>
      </c>
      <c r="CI175">
        <v>315555</v>
      </c>
      <c r="CP175">
        <v>0</v>
      </c>
      <c r="CQ175">
        <v>0</v>
      </c>
      <c r="CR175">
        <v>0</v>
      </c>
    </row>
    <row r="176" spans="1:96" hidden="1" x14ac:dyDescent="0.3">
      <c r="A176">
        <v>175</v>
      </c>
      <c r="B176" t="s">
        <v>805</v>
      </c>
      <c r="C176">
        <v>20517481</v>
      </c>
      <c r="D176" t="s">
        <v>731</v>
      </c>
      <c r="E176" t="s">
        <v>296</v>
      </c>
      <c r="F176" t="s">
        <v>806</v>
      </c>
      <c r="G176" t="s">
        <v>160</v>
      </c>
      <c r="H176" s="1">
        <v>46003</v>
      </c>
      <c r="I176" t="s">
        <v>140</v>
      </c>
      <c r="J176" t="s">
        <v>102</v>
      </c>
      <c r="K176" t="s">
        <v>147</v>
      </c>
      <c r="L176">
        <v>1790000090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6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3</v>
      </c>
      <c r="AI176">
        <v>3</v>
      </c>
      <c r="AJ176">
        <v>3</v>
      </c>
      <c r="AK176">
        <v>3</v>
      </c>
      <c r="AL176">
        <v>3</v>
      </c>
      <c r="AM176">
        <v>3</v>
      </c>
      <c r="AN176">
        <v>3</v>
      </c>
      <c r="AO176">
        <v>3</v>
      </c>
      <c r="AP176">
        <v>3</v>
      </c>
      <c r="AR176">
        <v>0</v>
      </c>
      <c r="AS176">
        <v>13</v>
      </c>
      <c r="AT176">
        <v>16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29</v>
      </c>
      <c r="BC176">
        <v>130833</v>
      </c>
      <c r="BD176" t="s">
        <v>148</v>
      </c>
      <c r="CI176">
        <v>473333</v>
      </c>
      <c r="CJ176">
        <v>213354</v>
      </c>
      <c r="CP176">
        <v>0</v>
      </c>
      <c r="CQ176">
        <v>0</v>
      </c>
      <c r="CR176">
        <v>0</v>
      </c>
    </row>
    <row r="177" spans="1:96" x14ac:dyDescent="0.3">
      <c r="A177">
        <v>176</v>
      </c>
      <c r="B177" t="s">
        <v>807</v>
      </c>
      <c r="C177">
        <v>20600125</v>
      </c>
      <c r="D177" t="s">
        <v>721</v>
      </c>
      <c r="E177" t="s">
        <v>808</v>
      </c>
      <c r="F177" t="s">
        <v>802</v>
      </c>
      <c r="G177" t="s">
        <v>356</v>
      </c>
      <c r="H177" s="1">
        <v>46068</v>
      </c>
      <c r="I177" t="s">
        <v>140</v>
      </c>
      <c r="J177" t="s">
        <v>102</v>
      </c>
      <c r="K177" t="s">
        <v>141</v>
      </c>
      <c r="L177">
        <v>1790000091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3</v>
      </c>
      <c r="AB177">
        <v>3</v>
      </c>
      <c r="AC177">
        <v>3</v>
      </c>
      <c r="AD177">
        <v>3</v>
      </c>
      <c r="AE177">
        <v>3</v>
      </c>
      <c r="AF177">
        <v>3</v>
      </c>
      <c r="AG177">
        <v>3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3</v>
      </c>
      <c r="AP177">
        <v>3</v>
      </c>
      <c r="AR177">
        <v>0</v>
      </c>
      <c r="AS177">
        <v>14</v>
      </c>
      <c r="AT177">
        <v>16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30</v>
      </c>
      <c r="BY177">
        <v>60000</v>
      </c>
      <c r="CP177">
        <v>0</v>
      </c>
      <c r="CQ177">
        <v>0</v>
      </c>
      <c r="CR177">
        <v>0</v>
      </c>
    </row>
    <row r="178" spans="1:96" hidden="1" x14ac:dyDescent="0.3">
      <c r="A178">
        <v>177</v>
      </c>
      <c r="B178" t="s">
        <v>809</v>
      </c>
      <c r="C178">
        <v>20601023</v>
      </c>
      <c r="D178" t="s">
        <v>336</v>
      </c>
      <c r="E178" t="s">
        <v>470</v>
      </c>
      <c r="F178" t="s">
        <v>810</v>
      </c>
      <c r="G178" t="s">
        <v>312</v>
      </c>
      <c r="H178" s="1">
        <v>46003</v>
      </c>
      <c r="I178" t="s">
        <v>140</v>
      </c>
      <c r="J178" t="s">
        <v>102</v>
      </c>
      <c r="K178" t="s">
        <v>147</v>
      </c>
      <c r="L178">
        <v>1790000090</v>
      </c>
      <c r="M178">
        <v>3</v>
      </c>
      <c r="N178">
        <v>3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2</v>
      </c>
      <c r="AG178">
        <v>2</v>
      </c>
      <c r="AH178">
        <v>3</v>
      </c>
      <c r="AI178">
        <v>3</v>
      </c>
      <c r="AJ178">
        <v>3</v>
      </c>
      <c r="AK178">
        <v>3</v>
      </c>
      <c r="AL178">
        <v>3</v>
      </c>
      <c r="AM178">
        <v>3</v>
      </c>
      <c r="AN178">
        <v>3</v>
      </c>
      <c r="AO178">
        <v>3</v>
      </c>
      <c r="AP178">
        <v>3</v>
      </c>
      <c r="AR178">
        <v>0</v>
      </c>
      <c r="AS178">
        <v>14</v>
      </c>
      <c r="AT178">
        <v>16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30</v>
      </c>
      <c r="BC178">
        <v>235333</v>
      </c>
      <c r="BD178" t="s">
        <v>148</v>
      </c>
      <c r="BP178">
        <v>75000</v>
      </c>
      <c r="CI178">
        <v>473333</v>
      </c>
      <c r="CP178">
        <v>0</v>
      </c>
      <c r="CQ178">
        <v>0</v>
      </c>
      <c r="CR178">
        <v>0</v>
      </c>
    </row>
    <row r="179" spans="1:96" hidden="1" x14ac:dyDescent="0.3">
      <c r="A179">
        <v>178</v>
      </c>
      <c r="B179" t="s">
        <v>811</v>
      </c>
      <c r="C179">
        <v>20684339</v>
      </c>
      <c r="D179" t="s">
        <v>812</v>
      </c>
      <c r="E179" t="s">
        <v>132</v>
      </c>
      <c r="F179" t="s">
        <v>813</v>
      </c>
      <c r="G179" t="s">
        <v>460</v>
      </c>
      <c r="H179" s="1">
        <v>45987</v>
      </c>
      <c r="I179" t="s">
        <v>140</v>
      </c>
      <c r="J179" t="s">
        <v>102</v>
      </c>
      <c r="K179" t="s">
        <v>208</v>
      </c>
      <c r="L179">
        <v>1790000090</v>
      </c>
      <c r="M179">
        <v>2</v>
      </c>
      <c r="N179">
        <v>2</v>
      </c>
      <c r="O179">
        <v>8</v>
      </c>
      <c r="P179">
        <v>8</v>
      </c>
      <c r="Q179">
        <v>2</v>
      </c>
      <c r="R179">
        <v>2</v>
      </c>
      <c r="S179">
        <v>2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3</v>
      </c>
      <c r="AC179">
        <v>3</v>
      </c>
      <c r="AD179">
        <v>3</v>
      </c>
      <c r="AE179">
        <v>3</v>
      </c>
      <c r="AF179">
        <v>3</v>
      </c>
      <c r="AG179">
        <v>3</v>
      </c>
      <c r="AR179">
        <v>0</v>
      </c>
      <c r="AS179">
        <v>5</v>
      </c>
      <c r="AT179">
        <v>14</v>
      </c>
      <c r="AU179">
        <v>0</v>
      </c>
      <c r="AV179">
        <v>0</v>
      </c>
      <c r="AW179">
        <v>0</v>
      </c>
      <c r="AX179">
        <v>0</v>
      </c>
      <c r="AY179">
        <v>2</v>
      </c>
      <c r="AZ179">
        <v>0</v>
      </c>
      <c r="BA179">
        <v>21</v>
      </c>
      <c r="BM179">
        <v>2</v>
      </c>
      <c r="BN179">
        <v>180000</v>
      </c>
      <c r="BP179">
        <v>52500</v>
      </c>
      <c r="CI179">
        <v>315555</v>
      </c>
      <c r="CP179">
        <v>0</v>
      </c>
      <c r="CQ179">
        <v>0</v>
      </c>
      <c r="CR179">
        <v>0</v>
      </c>
    </row>
    <row r="180" spans="1:96" hidden="1" x14ac:dyDescent="0.3">
      <c r="A180">
        <v>179</v>
      </c>
      <c r="B180" t="s">
        <v>814</v>
      </c>
      <c r="C180">
        <v>20728107</v>
      </c>
      <c r="D180" t="s">
        <v>143</v>
      </c>
      <c r="E180" t="s">
        <v>815</v>
      </c>
      <c r="F180" t="s">
        <v>767</v>
      </c>
      <c r="G180" t="s">
        <v>139</v>
      </c>
      <c r="H180" s="1">
        <v>46096</v>
      </c>
      <c r="I180" t="s">
        <v>140</v>
      </c>
      <c r="J180" t="s">
        <v>102</v>
      </c>
      <c r="K180" t="s">
        <v>141</v>
      </c>
      <c r="L180">
        <v>1790000091</v>
      </c>
      <c r="M180">
        <v>3</v>
      </c>
      <c r="N180">
        <v>3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3</v>
      </c>
      <c r="AP180">
        <v>3</v>
      </c>
      <c r="AR180">
        <v>0</v>
      </c>
      <c r="AS180">
        <v>14</v>
      </c>
      <c r="AT180">
        <v>16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30</v>
      </c>
      <c r="CP180">
        <v>0</v>
      </c>
      <c r="CQ180">
        <v>0</v>
      </c>
      <c r="CR180">
        <v>0</v>
      </c>
    </row>
    <row r="181" spans="1:96" hidden="1" x14ac:dyDescent="0.3">
      <c r="A181">
        <v>180</v>
      </c>
      <c r="B181" t="s">
        <v>816</v>
      </c>
      <c r="C181">
        <v>20747827</v>
      </c>
      <c r="D181" t="s">
        <v>541</v>
      </c>
      <c r="E181" t="s">
        <v>143</v>
      </c>
      <c r="F181" t="s">
        <v>817</v>
      </c>
      <c r="G181" t="s">
        <v>233</v>
      </c>
      <c r="H181" s="1">
        <v>46003</v>
      </c>
      <c r="I181" t="s">
        <v>140</v>
      </c>
      <c r="J181" t="s">
        <v>102</v>
      </c>
      <c r="K181" t="s">
        <v>272</v>
      </c>
      <c r="L181">
        <v>1790000090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R181">
        <v>0</v>
      </c>
      <c r="AS181">
        <v>14</v>
      </c>
      <c r="AT181">
        <v>16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30</v>
      </c>
      <c r="BC181">
        <v>150000</v>
      </c>
      <c r="BD181" t="s">
        <v>148</v>
      </c>
      <c r="BP181">
        <v>75000</v>
      </c>
      <c r="CI181">
        <v>473333</v>
      </c>
      <c r="CP181">
        <v>0</v>
      </c>
      <c r="CQ181">
        <v>0</v>
      </c>
      <c r="CR181">
        <v>0</v>
      </c>
    </row>
    <row r="182" spans="1:96" hidden="1" x14ac:dyDescent="0.3">
      <c r="A182">
        <v>181</v>
      </c>
      <c r="B182" t="s">
        <v>818</v>
      </c>
      <c r="C182">
        <v>20945942</v>
      </c>
      <c r="D182" t="s">
        <v>182</v>
      </c>
      <c r="E182" t="s">
        <v>132</v>
      </c>
      <c r="F182" t="s">
        <v>819</v>
      </c>
      <c r="G182" t="s">
        <v>233</v>
      </c>
      <c r="H182" s="1">
        <v>46023</v>
      </c>
      <c r="I182" t="s">
        <v>140</v>
      </c>
      <c r="J182" t="s">
        <v>102</v>
      </c>
      <c r="K182" t="s">
        <v>208</v>
      </c>
      <c r="L182">
        <v>1790000090</v>
      </c>
      <c r="M182">
        <v>2</v>
      </c>
      <c r="N182">
        <v>2</v>
      </c>
      <c r="O182">
        <v>8</v>
      </c>
      <c r="P182">
        <v>8</v>
      </c>
      <c r="Q182">
        <v>2</v>
      </c>
      <c r="R182">
        <v>2</v>
      </c>
      <c r="S182">
        <v>2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3</v>
      </c>
      <c r="AF182">
        <v>3</v>
      </c>
      <c r="AG182">
        <v>3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R182">
        <v>0</v>
      </c>
      <c r="AS182">
        <v>14</v>
      </c>
      <c r="AT182">
        <v>14</v>
      </c>
      <c r="AU182">
        <v>0</v>
      </c>
      <c r="AV182">
        <v>0</v>
      </c>
      <c r="AW182">
        <v>0</v>
      </c>
      <c r="AX182">
        <v>0</v>
      </c>
      <c r="AY182">
        <v>2</v>
      </c>
      <c r="AZ182">
        <v>0</v>
      </c>
      <c r="BA182">
        <v>30</v>
      </c>
      <c r="BM182">
        <v>2</v>
      </c>
      <c r="BN182">
        <v>180000</v>
      </c>
      <c r="BP182">
        <v>75000</v>
      </c>
      <c r="CI182">
        <v>473333</v>
      </c>
      <c r="CK182">
        <v>810000</v>
      </c>
      <c r="CL182">
        <v>100000</v>
      </c>
      <c r="CP182">
        <v>0</v>
      </c>
      <c r="CQ182">
        <v>0</v>
      </c>
      <c r="CR182">
        <v>0</v>
      </c>
    </row>
    <row r="183" spans="1:96" hidden="1" x14ac:dyDescent="0.3">
      <c r="A183">
        <v>182</v>
      </c>
      <c r="B183" t="s">
        <v>820</v>
      </c>
      <c r="C183">
        <v>20952696</v>
      </c>
      <c r="D183" t="s">
        <v>246</v>
      </c>
      <c r="E183" t="s">
        <v>821</v>
      </c>
      <c r="F183" t="s">
        <v>822</v>
      </c>
      <c r="G183" t="s">
        <v>489</v>
      </c>
      <c r="H183" s="1">
        <v>45824</v>
      </c>
      <c r="I183" t="s">
        <v>140</v>
      </c>
      <c r="J183" t="s">
        <v>102</v>
      </c>
      <c r="K183" t="s">
        <v>190</v>
      </c>
      <c r="L183">
        <v>1790000088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3</v>
      </c>
      <c r="U183">
        <v>3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3</v>
      </c>
      <c r="AC183">
        <v>3</v>
      </c>
      <c r="AD183">
        <v>3</v>
      </c>
      <c r="AE183">
        <v>3</v>
      </c>
      <c r="AF183">
        <v>3</v>
      </c>
      <c r="AG183">
        <v>3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R183">
        <v>16</v>
      </c>
      <c r="AS183">
        <v>0</v>
      </c>
      <c r="AT183">
        <v>14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30</v>
      </c>
      <c r="BM183">
        <v>0</v>
      </c>
      <c r="CP183">
        <v>0</v>
      </c>
      <c r="CQ183">
        <v>0</v>
      </c>
      <c r="CR183">
        <v>0</v>
      </c>
    </row>
    <row r="184" spans="1:96" hidden="1" x14ac:dyDescent="0.3">
      <c r="A184">
        <v>183</v>
      </c>
      <c r="B184" t="s">
        <v>823</v>
      </c>
      <c r="C184">
        <v>20999190</v>
      </c>
      <c r="D184" t="s">
        <v>240</v>
      </c>
      <c r="E184" t="s">
        <v>259</v>
      </c>
      <c r="F184" t="s">
        <v>824</v>
      </c>
      <c r="G184" t="s">
        <v>576</v>
      </c>
      <c r="H184" s="1">
        <v>46003</v>
      </c>
      <c r="I184" t="s">
        <v>140</v>
      </c>
      <c r="J184" t="s">
        <v>102</v>
      </c>
      <c r="K184" t="s">
        <v>147</v>
      </c>
      <c r="L184">
        <v>1790000090</v>
      </c>
      <c r="M184">
        <v>3</v>
      </c>
      <c r="N184">
        <v>3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3</v>
      </c>
      <c r="AI184">
        <v>3</v>
      </c>
      <c r="AJ184">
        <v>3</v>
      </c>
      <c r="AK184">
        <v>3</v>
      </c>
      <c r="AL184">
        <v>3</v>
      </c>
      <c r="AM184">
        <v>3</v>
      </c>
      <c r="AN184">
        <v>3</v>
      </c>
      <c r="AO184">
        <v>3</v>
      </c>
      <c r="AP184">
        <v>3</v>
      </c>
      <c r="AR184">
        <v>0</v>
      </c>
      <c r="AS184">
        <v>14</v>
      </c>
      <c r="AT184">
        <v>16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30</v>
      </c>
      <c r="BC184">
        <v>141250</v>
      </c>
      <c r="BD184" t="s">
        <v>148</v>
      </c>
      <c r="BE184">
        <v>62500.000000000007</v>
      </c>
      <c r="BF184" t="s">
        <v>577</v>
      </c>
      <c r="BP184">
        <v>75000</v>
      </c>
      <c r="CI184">
        <v>473333</v>
      </c>
      <c r="CJ184">
        <v>213354</v>
      </c>
      <c r="CP184">
        <v>0</v>
      </c>
      <c r="CQ184">
        <v>0</v>
      </c>
      <c r="CR184">
        <v>0</v>
      </c>
    </row>
    <row r="185" spans="1:96" x14ac:dyDescent="0.3">
      <c r="A185">
        <v>184</v>
      </c>
      <c r="B185" t="s">
        <v>825</v>
      </c>
      <c r="C185">
        <v>21016873</v>
      </c>
      <c r="D185" t="s">
        <v>255</v>
      </c>
      <c r="E185" t="s">
        <v>826</v>
      </c>
      <c r="F185" t="s">
        <v>827</v>
      </c>
      <c r="G185" t="s">
        <v>146</v>
      </c>
      <c r="H185" s="1">
        <v>45987</v>
      </c>
      <c r="I185" t="s">
        <v>140</v>
      </c>
      <c r="J185" t="s">
        <v>102</v>
      </c>
      <c r="K185" t="s">
        <v>208</v>
      </c>
      <c r="L185">
        <v>1790000090</v>
      </c>
      <c r="M185">
        <v>2</v>
      </c>
      <c r="N185">
        <v>2</v>
      </c>
      <c r="O185">
        <v>8</v>
      </c>
      <c r="P185">
        <v>8</v>
      </c>
      <c r="Q185">
        <v>2</v>
      </c>
      <c r="R185">
        <v>2</v>
      </c>
      <c r="S185">
        <v>2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3</v>
      </c>
      <c r="AB185">
        <v>3</v>
      </c>
      <c r="AC185">
        <v>3</v>
      </c>
      <c r="AD185">
        <v>3</v>
      </c>
      <c r="AE185">
        <v>3</v>
      </c>
      <c r="AF185">
        <v>3</v>
      </c>
      <c r="AG185">
        <v>3</v>
      </c>
      <c r="AR185">
        <v>0</v>
      </c>
      <c r="AS185">
        <v>5</v>
      </c>
      <c r="AT185">
        <v>14</v>
      </c>
      <c r="AU185">
        <v>0</v>
      </c>
      <c r="AV185">
        <v>0</v>
      </c>
      <c r="AW185">
        <v>0</v>
      </c>
      <c r="AX185">
        <v>0</v>
      </c>
      <c r="AY185">
        <v>2</v>
      </c>
      <c r="AZ185">
        <v>0</v>
      </c>
      <c r="BA185">
        <v>21</v>
      </c>
      <c r="BM185">
        <v>2</v>
      </c>
      <c r="BN185">
        <v>282400</v>
      </c>
      <c r="BP185">
        <v>52500</v>
      </c>
      <c r="BY185">
        <v>14000</v>
      </c>
      <c r="CI185">
        <v>315555</v>
      </c>
      <c r="CP185">
        <v>0</v>
      </c>
      <c r="CQ185">
        <v>0</v>
      </c>
      <c r="CR185">
        <v>0</v>
      </c>
    </row>
    <row r="186" spans="1:96" hidden="1" x14ac:dyDescent="0.3">
      <c r="A186">
        <v>185</v>
      </c>
      <c r="B186" t="s">
        <v>828</v>
      </c>
      <c r="C186">
        <v>21022831</v>
      </c>
      <c r="D186" t="s">
        <v>829</v>
      </c>
      <c r="E186" t="s">
        <v>131</v>
      </c>
      <c r="F186" t="s">
        <v>830</v>
      </c>
      <c r="G186" t="s">
        <v>233</v>
      </c>
      <c r="H186" s="1">
        <v>46003</v>
      </c>
      <c r="I186" t="s">
        <v>140</v>
      </c>
      <c r="J186" t="s">
        <v>102</v>
      </c>
      <c r="K186" t="s">
        <v>147</v>
      </c>
      <c r="L186">
        <v>1790000090</v>
      </c>
      <c r="M186">
        <v>3</v>
      </c>
      <c r="N186">
        <v>3</v>
      </c>
      <c r="O186">
        <v>3</v>
      </c>
      <c r="P186">
        <v>3</v>
      </c>
      <c r="Q186">
        <v>3</v>
      </c>
      <c r="R186">
        <v>3</v>
      </c>
      <c r="S186">
        <v>3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3</v>
      </c>
      <c r="AI186">
        <v>3</v>
      </c>
      <c r="AJ186">
        <v>3</v>
      </c>
      <c r="AK186">
        <v>3</v>
      </c>
      <c r="AL186">
        <v>3</v>
      </c>
      <c r="AM186">
        <v>3</v>
      </c>
      <c r="AN186">
        <v>3</v>
      </c>
      <c r="AO186">
        <v>3</v>
      </c>
      <c r="AP186">
        <v>3</v>
      </c>
      <c r="AR186">
        <v>0</v>
      </c>
      <c r="AS186">
        <v>14</v>
      </c>
      <c r="AT186">
        <v>16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30</v>
      </c>
      <c r="BC186">
        <v>150000</v>
      </c>
      <c r="BD186" t="s">
        <v>148</v>
      </c>
      <c r="BP186">
        <v>75000</v>
      </c>
      <c r="CI186">
        <v>473333</v>
      </c>
      <c r="CP186">
        <v>0</v>
      </c>
      <c r="CQ186">
        <v>0</v>
      </c>
      <c r="CR186">
        <v>0</v>
      </c>
    </row>
    <row r="187" spans="1:96" hidden="1" x14ac:dyDescent="0.3">
      <c r="A187">
        <v>186</v>
      </c>
      <c r="B187" t="s">
        <v>831</v>
      </c>
      <c r="C187">
        <v>21463925</v>
      </c>
      <c r="D187" t="s">
        <v>832</v>
      </c>
      <c r="E187" t="s">
        <v>833</v>
      </c>
      <c r="F187" t="s">
        <v>834</v>
      </c>
      <c r="G187" t="s">
        <v>233</v>
      </c>
      <c r="H187" s="1">
        <v>46006</v>
      </c>
      <c r="I187" t="s">
        <v>140</v>
      </c>
      <c r="J187" t="s">
        <v>102</v>
      </c>
      <c r="K187" t="s">
        <v>147</v>
      </c>
      <c r="L187">
        <v>1790000090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3</v>
      </c>
      <c r="S187">
        <v>3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3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3</v>
      </c>
      <c r="AO187">
        <v>3</v>
      </c>
      <c r="AP187">
        <v>3</v>
      </c>
      <c r="AR187">
        <v>0</v>
      </c>
      <c r="AS187">
        <v>14</v>
      </c>
      <c r="AT187">
        <v>16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30</v>
      </c>
      <c r="BC187">
        <v>150000</v>
      </c>
      <c r="BD187" t="s">
        <v>148</v>
      </c>
      <c r="BP187">
        <v>75000</v>
      </c>
      <c r="CI187">
        <v>473333</v>
      </c>
      <c r="CP187">
        <v>0</v>
      </c>
      <c r="CQ187">
        <v>0</v>
      </c>
      <c r="CR187">
        <v>0</v>
      </c>
    </row>
    <row r="188" spans="1:96" hidden="1" x14ac:dyDescent="0.3">
      <c r="A188">
        <v>187</v>
      </c>
      <c r="B188" t="s">
        <v>835</v>
      </c>
      <c r="C188">
        <v>21624367</v>
      </c>
      <c r="D188" t="s">
        <v>296</v>
      </c>
      <c r="E188" t="s">
        <v>143</v>
      </c>
      <c r="F188" t="s">
        <v>836</v>
      </c>
      <c r="G188" t="s">
        <v>576</v>
      </c>
      <c r="H188" s="1">
        <v>46003</v>
      </c>
      <c r="I188" t="s">
        <v>140</v>
      </c>
      <c r="J188" t="s">
        <v>102</v>
      </c>
      <c r="K188" t="s">
        <v>147</v>
      </c>
      <c r="L188">
        <v>1790000090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3</v>
      </c>
      <c r="AI188">
        <v>3</v>
      </c>
      <c r="AJ188">
        <v>3</v>
      </c>
      <c r="AK188">
        <v>3</v>
      </c>
      <c r="AL188">
        <v>3</v>
      </c>
      <c r="AM188">
        <v>3</v>
      </c>
      <c r="AN188">
        <v>3</v>
      </c>
      <c r="AO188">
        <v>3</v>
      </c>
      <c r="AP188">
        <v>3</v>
      </c>
      <c r="AR188">
        <v>0</v>
      </c>
      <c r="AS188">
        <v>14</v>
      </c>
      <c r="AT188">
        <v>16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30</v>
      </c>
      <c r="BC188">
        <v>141250</v>
      </c>
      <c r="BD188" t="s">
        <v>148</v>
      </c>
      <c r="BE188">
        <v>62500.000000000007</v>
      </c>
      <c r="BF188" t="s">
        <v>577</v>
      </c>
      <c r="BP188">
        <v>75000</v>
      </c>
      <c r="CI188">
        <v>473333</v>
      </c>
      <c r="CJ188">
        <v>213354</v>
      </c>
      <c r="CP188">
        <v>0</v>
      </c>
      <c r="CQ188">
        <v>0</v>
      </c>
      <c r="CR188">
        <v>0</v>
      </c>
    </row>
    <row r="189" spans="1:96" hidden="1" x14ac:dyDescent="0.3">
      <c r="A189">
        <v>188</v>
      </c>
      <c r="B189" t="s">
        <v>837</v>
      </c>
      <c r="C189">
        <v>21743583</v>
      </c>
      <c r="D189" t="s">
        <v>440</v>
      </c>
      <c r="E189" t="s">
        <v>838</v>
      </c>
      <c r="F189" t="s">
        <v>839</v>
      </c>
      <c r="G189" t="s">
        <v>233</v>
      </c>
      <c r="H189" s="1">
        <v>46096</v>
      </c>
      <c r="I189" t="s">
        <v>140</v>
      </c>
      <c r="J189" t="s">
        <v>102</v>
      </c>
      <c r="K189" t="s">
        <v>141</v>
      </c>
      <c r="L189">
        <v>1790000091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3</v>
      </c>
      <c r="S189">
        <v>3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3</v>
      </c>
      <c r="AB189">
        <v>3</v>
      </c>
      <c r="AC189">
        <v>3</v>
      </c>
      <c r="AD189">
        <v>3</v>
      </c>
      <c r="AE189">
        <v>3</v>
      </c>
      <c r="AF189">
        <v>3</v>
      </c>
      <c r="AG189">
        <v>3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3</v>
      </c>
      <c r="AP189">
        <v>3</v>
      </c>
      <c r="AR189">
        <v>0</v>
      </c>
      <c r="AS189">
        <v>14</v>
      </c>
      <c r="AT189">
        <v>16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30</v>
      </c>
      <c r="CP189">
        <v>0</v>
      </c>
      <c r="CQ189">
        <v>0</v>
      </c>
      <c r="CR189">
        <v>0</v>
      </c>
    </row>
    <row r="190" spans="1:96" hidden="1" x14ac:dyDescent="0.3">
      <c r="A190">
        <v>189</v>
      </c>
      <c r="B190" t="s">
        <v>840</v>
      </c>
      <c r="C190">
        <v>23983246</v>
      </c>
      <c r="D190" t="s">
        <v>841</v>
      </c>
      <c r="E190" t="s">
        <v>842</v>
      </c>
      <c r="F190" t="s">
        <v>843</v>
      </c>
      <c r="G190" t="s">
        <v>233</v>
      </c>
      <c r="H190" s="1">
        <v>46082</v>
      </c>
      <c r="I190" t="s">
        <v>140</v>
      </c>
      <c r="J190" t="s">
        <v>102</v>
      </c>
      <c r="K190" t="s">
        <v>243</v>
      </c>
      <c r="L190">
        <v>1790000090</v>
      </c>
      <c r="M190">
        <v>2</v>
      </c>
      <c r="N190">
        <v>2</v>
      </c>
      <c r="O190">
        <v>8</v>
      </c>
      <c r="P190">
        <v>8</v>
      </c>
      <c r="Q190">
        <v>2</v>
      </c>
      <c r="R190">
        <v>2</v>
      </c>
      <c r="S190">
        <v>2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3</v>
      </c>
      <c r="AF190">
        <v>3</v>
      </c>
      <c r="AG190">
        <v>3</v>
      </c>
      <c r="AR190">
        <v>0</v>
      </c>
      <c r="AS190">
        <v>5</v>
      </c>
      <c r="AT190">
        <v>14</v>
      </c>
      <c r="AU190">
        <v>0</v>
      </c>
      <c r="AV190">
        <v>0</v>
      </c>
      <c r="AW190">
        <v>0</v>
      </c>
      <c r="AX190">
        <v>0</v>
      </c>
      <c r="AY190">
        <v>2</v>
      </c>
      <c r="AZ190">
        <v>0</v>
      </c>
      <c r="BA190">
        <v>21</v>
      </c>
      <c r="BM190">
        <v>2</v>
      </c>
      <c r="BN190">
        <v>180000</v>
      </c>
      <c r="BP190">
        <v>52500</v>
      </c>
      <c r="CI190">
        <v>157778</v>
      </c>
      <c r="CP190">
        <v>0</v>
      </c>
      <c r="CQ190">
        <v>0</v>
      </c>
      <c r="CR190">
        <v>0</v>
      </c>
    </row>
    <row r="191" spans="1:96" hidden="1" x14ac:dyDescent="0.3">
      <c r="A191">
        <v>190</v>
      </c>
      <c r="B191" t="s">
        <v>844</v>
      </c>
      <c r="C191">
        <v>24231740</v>
      </c>
      <c r="D191" t="s">
        <v>845</v>
      </c>
      <c r="E191" t="s">
        <v>225</v>
      </c>
      <c r="F191" t="s">
        <v>846</v>
      </c>
      <c r="G191" t="s">
        <v>513</v>
      </c>
      <c r="H191" s="1">
        <v>46041</v>
      </c>
      <c r="I191" t="s">
        <v>101</v>
      </c>
      <c r="J191" t="s">
        <v>102</v>
      </c>
      <c r="K191" t="s">
        <v>243</v>
      </c>
      <c r="L191">
        <v>1790000090</v>
      </c>
      <c r="M191">
        <v>2</v>
      </c>
      <c r="N191">
        <v>2</v>
      </c>
      <c r="O191">
        <v>8</v>
      </c>
      <c r="P191">
        <v>8</v>
      </c>
      <c r="Q191">
        <v>2</v>
      </c>
      <c r="R191">
        <v>2</v>
      </c>
      <c r="S191">
        <v>2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3</v>
      </c>
      <c r="AD191">
        <v>3</v>
      </c>
      <c r="AE191">
        <v>3</v>
      </c>
      <c r="AF191">
        <v>3</v>
      </c>
      <c r="AG191">
        <v>3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P191">
        <v>2</v>
      </c>
      <c r="AR191">
        <v>0</v>
      </c>
      <c r="AS191">
        <v>14</v>
      </c>
      <c r="AT191">
        <v>14</v>
      </c>
      <c r="AU191">
        <v>0</v>
      </c>
      <c r="AV191">
        <v>0</v>
      </c>
      <c r="AW191">
        <v>0</v>
      </c>
      <c r="AX191">
        <v>0</v>
      </c>
      <c r="AY191">
        <v>2</v>
      </c>
      <c r="AZ191">
        <v>0</v>
      </c>
      <c r="BA191">
        <v>30</v>
      </c>
      <c r="BM191">
        <v>2</v>
      </c>
      <c r="BN191">
        <v>461600</v>
      </c>
      <c r="CI191">
        <v>473333</v>
      </c>
      <c r="CP191">
        <v>0</v>
      </c>
      <c r="CQ191">
        <v>0</v>
      </c>
      <c r="CR191">
        <v>0</v>
      </c>
    </row>
    <row r="192" spans="1:96" hidden="1" x14ac:dyDescent="0.3">
      <c r="A192">
        <v>191</v>
      </c>
      <c r="B192" t="s">
        <v>847</v>
      </c>
      <c r="C192">
        <v>24418429</v>
      </c>
      <c r="D192" t="s">
        <v>848</v>
      </c>
      <c r="E192" t="s">
        <v>849</v>
      </c>
      <c r="F192" t="s">
        <v>850</v>
      </c>
      <c r="G192" t="s">
        <v>213</v>
      </c>
      <c r="H192" s="1">
        <v>46054</v>
      </c>
      <c r="I192" t="s">
        <v>140</v>
      </c>
      <c r="J192" t="s">
        <v>102</v>
      </c>
      <c r="K192" t="s">
        <v>147</v>
      </c>
      <c r="L192">
        <v>1790000090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3</v>
      </c>
      <c r="S192">
        <v>3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3</v>
      </c>
      <c r="AI192">
        <v>3</v>
      </c>
      <c r="AJ192">
        <v>3</v>
      </c>
      <c r="AK192">
        <v>3</v>
      </c>
      <c r="AL192">
        <v>3</v>
      </c>
      <c r="AM192">
        <v>3</v>
      </c>
      <c r="AN192">
        <v>3</v>
      </c>
      <c r="AO192">
        <v>3</v>
      </c>
      <c r="AP192">
        <v>3</v>
      </c>
      <c r="AQ192">
        <v>3</v>
      </c>
      <c r="AR192">
        <v>0</v>
      </c>
      <c r="AS192">
        <v>14</v>
      </c>
      <c r="AT192">
        <v>17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30</v>
      </c>
      <c r="BC192">
        <v>281000</v>
      </c>
      <c r="BD192" t="s">
        <v>148</v>
      </c>
      <c r="BP192">
        <v>75000</v>
      </c>
      <c r="CI192">
        <v>473333</v>
      </c>
      <c r="CP192">
        <v>0</v>
      </c>
      <c r="CQ192">
        <v>0</v>
      </c>
      <c r="CR192">
        <v>0</v>
      </c>
    </row>
    <row r="193" spans="1:96" hidden="1" x14ac:dyDescent="0.3">
      <c r="A193">
        <v>192</v>
      </c>
      <c r="B193" t="s">
        <v>851</v>
      </c>
      <c r="C193">
        <v>24457802</v>
      </c>
      <c r="D193" t="s">
        <v>852</v>
      </c>
      <c r="E193" t="s">
        <v>853</v>
      </c>
      <c r="F193" t="s">
        <v>854</v>
      </c>
      <c r="G193" t="s">
        <v>160</v>
      </c>
      <c r="H193" s="1">
        <v>46054</v>
      </c>
      <c r="I193" t="s">
        <v>140</v>
      </c>
      <c r="J193" t="s">
        <v>102</v>
      </c>
      <c r="K193" t="s">
        <v>147</v>
      </c>
      <c r="L193">
        <v>1790000090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3</v>
      </c>
      <c r="AI193">
        <v>3</v>
      </c>
      <c r="AJ193">
        <v>3</v>
      </c>
      <c r="AK193">
        <v>3</v>
      </c>
      <c r="AL193">
        <v>3</v>
      </c>
      <c r="AM193">
        <v>3</v>
      </c>
      <c r="AN193">
        <v>3</v>
      </c>
      <c r="AO193">
        <v>3</v>
      </c>
      <c r="AP193">
        <v>3</v>
      </c>
      <c r="AR193">
        <v>0</v>
      </c>
      <c r="AS193">
        <v>14</v>
      </c>
      <c r="AT193">
        <v>16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30</v>
      </c>
      <c r="BC193">
        <v>130833</v>
      </c>
      <c r="BD193" t="s">
        <v>148</v>
      </c>
      <c r="BP193">
        <v>75000</v>
      </c>
      <c r="CI193">
        <v>473333</v>
      </c>
      <c r="CJ193">
        <v>213354</v>
      </c>
      <c r="CP193">
        <v>0</v>
      </c>
      <c r="CQ193">
        <v>0</v>
      </c>
      <c r="CR193">
        <v>0</v>
      </c>
    </row>
    <row r="194" spans="1:96" hidden="1" x14ac:dyDescent="0.3">
      <c r="A194">
        <v>193</v>
      </c>
      <c r="B194" t="s">
        <v>855</v>
      </c>
      <c r="C194">
        <v>24718250</v>
      </c>
      <c r="D194" t="s">
        <v>856</v>
      </c>
      <c r="E194" t="s">
        <v>491</v>
      </c>
      <c r="F194" t="s">
        <v>857</v>
      </c>
      <c r="G194" t="s">
        <v>858</v>
      </c>
      <c r="H194" s="1"/>
      <c r="I194" t="s">
        <v>101</v>
      </c>
      <c r="J194" t="s">
        <v>102</v>
      </c>
      <c r="K194" t="s">
        <v>103</v>
      </c>
      <c r="L194">
        <v>1770000002</v>
      </c>
      <c r="M194">
        <v>1</v>
      </c>
      <c r="N194">
        <v>1</v>
      </c>
      <c r="O194">
        <v>3</v>
      </c>
      <c r="P194">
        <v>3</v>
      </c>
      <c r="Q194">
        <v>3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3</v>
      </c>
      <c r="X194">
        <v>3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3</v>
      </c>
      <c r="AE194">
        <v>3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3</v>
      </c>
      <c r="AL194">
        <v>3</v>
      </c>
      <c r="AM194">
        <v>1</v>
      </c>
      <c r="AN194">
        <v>1</v>
      </c>
      <c r="AO194">
        <v>1</v>
      </c>
      <c r="AP194">
        <v>1</v>
      </c>
      <c r="AR194">
        <v>21</v>
      </c>
      <c r="AS194">
        <v>0</v>
      </c>
      <c r="AT194">
        <v>9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30</v>
      </c>
      <c r="CN194">
        <v>115000</v>
      </c>
      <c r="CP194">
        <v>0</v>
      </c>
      <c r="CQ194">
        <v>0</v>
      </c>
      <c r="CR194">
        <v>0</v>
      </c>
    </row>
    <row r="195" spans="1:96" hidden="1" x14ac:dyDescent="0.3">
      <c r="A195">
        <v>194</v>
      </c>
      <c r="B195" t="s">
        <v>859</v>
      </c>
      <c r="C195">
        <v>24847465</v>
      </c>
      <c r="D195" t="s">
        <v>860</v>
      </c>
      <c r="E195" t="s">
        <v>861</v>
      </c>
      <c r="F195" t="s">
        <v>862</v>
      </c>
      <c r="G195" t="s">
        <v>160</v>
      </c>
      <c r="H195" s="1">
        <v>46034</v>
      </c>
      <c r="I195" t="s">
        <v>140</v>
      </c>
      <c r="J195" t="s">
        <v>102</v>
      </c>
      <c r="K195" t="s">
        <v>243</v>
      </c>
      <c r="L195">
        <v>1790000090</v>
      </c>
      <c r="M195">
        <v>2</v>
      </c>
      <c r="N195">
        <v>2</v>
      </c>
      <c r="O195">
        <v>8</v>
      </c>
      <c r="P195">
        <v>8</v>
      </c>
      <c r="Q195">
        <v>2</v>
      </c>
      <c r="R195">
        <v>2</v>
      </c>
      <c r="S195">
        <v>2</v>
      </c>
      <c r="T195">
        <v>3</v>
      </c>
      <c r="U195">
        <v>3</v>
      </c>
      <c r="V195">
        <v>3</v>
      </c>
      <c r="W195">
        <v>3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3</v>
      </c>
      <c r="AE195">
        <v>3</v>
      </c>
      <c r="AF195">
        <v>3</v>
      </c>
      <c r="AG195">
        <v>3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P195">
        <v>2</v>
      </c>
      <c r="AR195">
        <v>0</v>
      </c>
      <c r="AS195">
        <v>14</v>
      </c>
      <c r="AT195">
        <v>14</v>
      </c>
      <c r="AU195">
        <v>0</v>
      </c>
      <c r="AV195">
        <v>0</v>
      </c>
      <c r="AW195">
        <v>0</v>
      </c>
      <c r="AX195">
        <v>0</v>
      </c>
      <c r="AY195">
        <v>2</v>
      </c>
      <c r="AZ195">
        <v>0</v>
      </c>
      <c r="BA195">
        <v>30</v>
      </c>
      <c r="BM195">
        <v>2</v>
      </c>
      <c r="BN195">
        <v>157000</v>
      </c>
      <c r="BP195">
        <v>75000</v>
      </c>
      <c r="CI195">
        <v>473333</v>
      </c>
      <c r="CP195">
        <v>0</v>
      </c>
      <c r="CQ195">
        <v>0</v>
      </c>
      <c r="CR195">
        <v>0</v>
      </c>
    </row>
    <row r="196" spans="1:96" x14ac:dyDescent="0.3">
      <c r="A196">
        <v>195</v>
      </c>
      <c r="B196" t="s">
        <v>863</v>
      </c>
      <c r="C196">
        <v>25179180</v>
      </c>
      <c r="D196" t="s">
        <v>864</v>
      </c>
      <c r="E196" t="s">
        <v>865</v>
      </c>
      <c r="F196" t="s">
        <v>866</v>
      </c>
      <c r="G196" t="s">
        <v>588</v>
      </c>
      <c r="H196" s="1">
        <v>45993</v>
      </c>
      <c r="I196" t="s">
        <v>101</v>
      </c>
      <c r="J196" t="s">
        <v>102</v>
      </c>
      <c r="K196" t="s">
        <v>109</v>
      </c>
      <c r="L196">
        <v>1790000090</v>
      </c>
      <c r="M196">
        <v>2</v>
      </c>
      <c r="N196">
        <v>2</v>
      </c>
      <c r="O196">
        <v>3</v>
      </c>
      <c r="P196">
        <v>3</v>
      </c>
      <c r="Q196">
        <v>3</v>
      </c>
      <c r="R196">
        <v>2</v>
      </c>
      <c r="S196">
        <v>2</v>
      </c>
      <c r="T196">
        <v>2</v>
      </c>
      <c r="U196">
        <v>2</v>
      </c>
      <c r="V196">
        <v>3</v>
      </c>
      <c r="W196">
        <v>3</v>
      </c>
      <c r="X196">
        <v>3</v>
      </c>
      <c r="Y196">
        <v>2</v>
      </c>
      <c r="Z196">
        <v>2</v>
      </c>
      <c r="AA196">
        <v>2</v>
      </c>
      <c r="AB196">
        <v>2</v>
      </c>
      <c r="AC196">
        <v>3</v>
      </c>
      <c r="AD196">
        <v>3</v>
      </c>
      <c r="AE196">
        <v>3</v>
      </c>
      <c r="AF196">
        <v>2</v>
      </c>
      <c r="AG196">
        <v>2</v>
      </c>
      <c r="AH196">
        <v>2</v>
      </c>
      <c r="AI196">
        <v>2</v>
      </c>
      <c r="AJ196">
        <v>3</v>
      </c>
      <c r="AK196">
        <v>3</v>
      </c>
      <c r="AL196">
        <v>3</v>
      </c>
      <c r="AM196">
        <v>2</v>
      </c>
      <c r="AN196">
        <v>2</v>
      </c>
      <c r="AO196">
        <v>2</v>
      </c>
      <c r="AP196">
        <v>2</v>
      </c>
      <c r="AR196">
        <v>0</v>
      </c>
      <c r="AS196">
        <v>18</v>
      </c>
      <c r="AT196">
        <v>12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30</v>
      </c>
      <c r="BP196">
        <v>75000</v>
      </c>
      <c r="BY196">
        <v>21000</v>
      </c>
      <c r="CI196">
        <v>473333</v>
      </c>
      <c r="CP196">
        <v>0</v>
      </c>
      <c r="CQ196">
        <v>0</v>
      </c>
      <c r="CR196">
        <v>0</v>
      </c>
    </row>
    <row r="197" spans="1:96" hidden="1" x14ac:dyDescent="0.3">
      <c r="A197">
        <v>196</v>
      </c>
      <c r="B197" t="s">
        <v>867</v>
      </c>
      <c r="C197">
        <v>25247969</v>
      </c>
      <c r="D197" t="s">
        <v>700</v>
      </c>
      <c r="E197" t="s">
        <v>868</v>
      </c>
      <c r="F197" t="s">
        <v>869</v>
      </c>
      <c r="G197" t="s">
        <v>278</v>
      </c>
      <c r="H197" s="1">
        <v>45978</v>
      </c>
      <c r="I197" t="s">
        <v>101</v>
      </c>
      <c r="J197" t="s">
        <v>253</v>
      </c>
      <c r="K197" t="s">
        <v>660</v>
      </c>
      <c r="L197">
        <v>1790000090</v>
      </c>
      <c r="M197">
        <v>3</v>
      </c>
      <c r="N197">
        <v>2</v>
      </c>
      <c r="O197">
        <v>8</v>
      </c>
      <c r="P197">
        <v>8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3</v>
      </c>
      <c r="AM197">
        <v>3</v>
      </c>
      <c r="AN197">
        <v>3</v>
      </c>
      <c r="AO197">
        <v>2</v>
      </c>
      <c r="AP197">
        <v>3</v>
      </c>
      <c r="AR197">
        <v>0</v>
      </c>
      <c r="AS197">
        <v>12</v>
      </c>
      <c r="AT197">
        <v>16</v>
      </c>
      <c r="AU197">
        <v>0</v>
      </c>
      <c r="AV197">
        <v>0</v>
      </c>
      <c r="AW197">
        <v>0</v>
      </c>
      <c r="AX197">
        <v>0</v>
      </c>
      <c r="AY197">
        <v>2</v>
      </c>
      <c r="AZ197">
        <v>0</v>
      </c>
      <c r="BA197">
        <v>30</v>
      </c>
      <c r="BM197">
        <v>2</v>
      </c>
      <c r="BN197">
        <v>310000</v>
      </c>
      <c r="BP197">
        <v>75000</v>
      </c>
      <c r="CI197">
        <v>473333</v>
      </c>
      <c r="CP197">
        <v>0</v>
      </c>
      <c r="CQ197">
        <v>0</v>
      </c>
      <c r="CR197">
        <v>0</v>
      </c>
    </row>
    <row r="198" spans="1:96" hidden="1" x14ac:dyDescent="0.3">
      <c r="A198">
        <v>197</v>
      </c>
      <c r="B198" t="s">
        <v>870</v>
      </c>
      <c r="C198">
        <v>26084510</v>
      </c>
      <c r="D198" t="s">
        <v>871</v>
      </c>
      <c r="E198" t="s">
        <v>872</v>
      </c>
      <c r="F198" t="s">
        <v>873</v>
      </c>
      <c r="G198" t="s">
        <v>146</v>
      </c>
      <c r="H198" s="1">
        <v>45839</v>
      </c>
      <c r="I198" t="s">
        <v>140</v>
      </c>
      <c r="J198" t="s">
        <v>102</v>
      </c>
      <c r="K198" t="s">
        <v>127</v>
      </c>
      <c r="L198">
        <v>1790000088</v>
      </c>
      <c r="M198">
        <v>2</v>
      </c>
      <c r="N198">
        <v>2</v>
      </c>
      <c r="O198">
        <v>8</v>
      </c>
      <c r="P198">
        <v>8</v>
      </c>
      <c r="Q198">
        <v>2</v>
      </c>
      <c r="R198">
        <v>2</v>
      </c>
      <c r="S198">
        <v>2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P198">
        <v>2</v>
      </c>
      <c r="AR198">
        <v>0</v>
      </c>
      <c r="AS198">
        <v>14</v>
      </c>
      <c r="AT198">
        <v>14</v>
      </c>
      <c r="AU198">
        <v>0</v>
      </c>
      <c r="AV198">
        <v>0</v>
      </c>
      <c r="AW198">
        <v>0</v>
      </c>
      <c r="AX198">
        <v>0</v>
      </c>
      <c r="AY198">
        <v>2</v>
      </c>
      <c r="AZ198">
        <v>0</v>
      </c>
      <c r="BA198">
        <v>30</v>
      </c>
      <c r="BM198">
        <v>2</v>
      </c>
      <c r="BN198">
        <v>262998</v>
      </c>
      <c r="CP198">
        <v>0</v>
      </c>
      <c r="CQ198">
        <v>0</v>
      </c>
      <c r="CR198">
        <v>0</v>
      </c>
    </row>
    <row r="199" spans="1:96" hidden="1" x14ac:dyDescent="0.3">
      <c r="A199">
        <v>198</v>
      </c>
      <c r="B199" t="s">
        <v>874</v>
      </c>
      <c r="C199">
        <v>26128372</v>
      </c>
      <c r="D199" t="s">
        <v>875</v>
      </c>
      <c r="F199" t="s">
        <v>876</v>
      </c>
      <c r="G199" t="s">
        <v>160</v>
      </c>
      <c r="H199" s="1">
        <v>46054</v>
      </c>
      <c r="I199" t="s">
        <v>140</v>
      </c>
      <c r="J199" t="s">
        <v>102</v>
      </c>
      <c r="K199" t="s">
        <v>147</v>
      </c>
      <c r="L199">
        <v>1790000090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3</v>
      </c>
      <c r="AI199">
        <v>3</v>
      </c>
      <c r="AJ199">
        <v>3</v>
      </c>
      <c r="AK199">
        <v>3</v>
      </c>
      <c r="AL199">
        <v>3</v>
      </c>
      <c r="AM199">
        <v>3</v>
      </c>
      <c r="AN199">
        <v>3</v>
      </c>
      <c r="AO199">
        <v>3</v>
      </c>
      <c r="AP199">
        <v>3</v>
      </c>
      <c r="AR199">
        <v>0</v>
      </c>
      <c r="AS199">
        <v>14</v>
      </c>
      <c r="AT199">
        <v>16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30</v>
      </c>
      <c r="BC199">
        <v>130833</v>
      </c>
      <c r="BD199" t="s">
        <v>148</v>
      </c>
      <c r="BP199">
        <v>75000</v>
      </c>
      <c r="CI199">
        <v>473333</v>
      </c>
      <c r="CJ199">
        <v>213354</v>
      </c>
      <c r="CP199">
        <v>0</v>
      </c>
      <c r="CQ199">
        <v>0</v>
      </c>
      <c r="CR199">
        <v>0</v>
      </c>
    </row>
    <row r="200" spans="1:96" hidden="1" x14ac:dyDescent="0.3">
      <c r="A200">
        <v>199</v>
      </c>
      <c r="B200" t="s">
        <v>877</v>
      </c>
      <c r="C200">
        <v>27900677</v>
      </c>
      <c r="D200" t="s">
        <v>878</v>
      </c>
      <c r="E200" t="s">
        <v>879</v>
      </c>
      <c r="F200" t="s">
        <v>880</v>
      </c>
      <c r="G200" t="s">
        <v>160</v>
      </c>
      <c r="H200" s="1">
        <v>46082</v>
      </c>
      <c r="I200" t="s">
        <v>140</v>
      </c>
      <c r="J200" t="s">
        <v>102</v>
      </c>
      <c r="K200" t="s">
        <v>243</v>
      </c>
      <c r="L200">
        <v>1790000090</v>
      </c>
      <c r="M200">
        <v>2</v>
      </c>
      <c r="N200">
        <v>2</v>
      </c>
      <c r="O200">
        <v>8</v>
      </c>
      <c r="P200">
        <v>8</v>
      </c>
      <c r="Q200">
        <v>2</v>
      </c>
      <c r="R200">
        <v>2</v>
      </c>
      <c r="S200">
        <v>2</v>
      </c>
      <c r="T200">
        <v>3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3</v>
      </c>
      <c r="AF200">
        <v>3</v>
      </c>
      <c r="AG200">
        <v>3</v>
      </c>
      <c r="AR200">
        <v>0</v>
      </c>
      <c r="AS200">
        <v>5</v>
      </c>
      <c r="AT200">
        <v>14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0</v>
      </c>
      <c r="BA200">
        <v>21</v>
      </c>
      <c r="BM200">
        <v>2</v>
      </c>
      <c r="BN200">
        <v>157000</v>
      </c>
      <c r="BP200">
        <v>52500</v>
      </c>
      <c r="CI200">
        <v>157778</v>
      </c>
      <c r="CP200">
        <v>0</v>
      </c>
      <c r="CQ200">
        <v>0</v>
      </c>
      <c r="CR200">
        <v>0</v>
      </c>
    </row>
    <row r="201" spans="1:96" x14ac:dyDescent="0.3">
      <c r="A201">
        <v>200</v>
      </c>
      <c r="B201" t="s">
        <v>881</v>
      </c>
      <c r="C201">
        <v>27928346</v>
      </c>
      <c r="D201" t="s">
        <v>882</v>
      </c>
      <c r="E201" t="s">
        <v>883</v>
      </c>
      <c r="F201" t="s">
        <v>884</v>
      </c>
      <c r="G201" t="s">
        <v>745</v>
      </c>
      <c r="H201" s="1">
        <v>46113</v>
      </c>
      <c r="I201" t="s">
        <v>101</v>
      </c>
      <c r="J201" t="s">
        <v>253</v>
      </c>
      <c r="K201" t="s">
        <v>147</v>
      </c>
      <c r="L201">
        <v>1790000090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3</v>
      </c>
      <c r="AN201">
        <v>3</v>
      </c>
      <c r="AO201">
        <v>3</v>
      </c>
      <c r="AP201">
        <v>3</v>
      </c>
      <c r="AR201">
        <v>7</v>
      </c>
      <c r="AS201">
        <v>14</v>
      </c>
      <c r="AT201">
        <v>9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30</v>
      </c>
      <c r="BC201">
        <v>343333</v>
      </c>
      <c r="BD201" t="s">
        <v>148</v>
      </c>
      <c r="BE201">
        <v>270000</v>
      </c>
      <c r="BF201" t="s">
        <v>273</v>
      </c>
      <c r="BK201">
        <v>68667</v>
      </c>
      <c r="BL201" t="s">
        <v>885</v>
      </c>
      <c r="BY201">
        <v>22560</v>
      </c>
      <c r="CI201">
        <v>157778</v>
      </c>
      <c r="CP201">
        <v>0</v>
      </c>
      <c r="CQ201">
        <v>0</v>
      </c>
      <c r="CR201">
        <v>0</v>
      </c>
    </row>
    <row r="202" spans="1:96" hidden="1" x14ac:dyDescent="0.3">
      <c r="A202">
        <v>201</v>
      </c>
      <c r="B202" t="s">
        <v>886</v>
      </c>
      <c r="C202">
        <v>28087199</v>
      </c>
      <c r="D202" t="s">
        <v>887</v>
      </c>
      <c r="E202" t="s">
        <v>216</v>
      </c>
      <c r="F202" t="s">
        <v>888</v>
      </c>
      <c r="G202" t="s">
        <v>569</v>
      </c>
      <c r="H202" s="1">
        <v>46357</v>
      </c>
      <c r="I202" t="s">
        <v>140</v>
      </c>
      <c r="J202" t="s">
        <v>102</v>
      </c>
      <c r="K202" t="s">
        <v>208</v>
      </c>
      <c r="L202">
        <v>1790000090</v>
      </c>
      <c r="M202">
        <v>2</v>
      </c>
      <c r="N202">
        <v>2</v>
      </c>
      <c r="O202">
        <v>8</v>
      </c>
      <c r="P202">
        <v>8</v>
      </c>
      <c r="Q202">
        <v>2</v>
      </c>
      <c r="R202">
        <v>2</v>
      </c>
      <c r="S202">
        <v>2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R202">
        <v>0</v>
      </c>
      <c r="AS202">
        <v>5</v>
      </c>
      <c r="AT202">
        <v>14</v>
      </c>
      <c r="AU202">
        <v>0</v>
      </c>
      <c r="AV202">
        <v>0</v>
      </c>
      <c r="AW202">
        <v>0</v>
      </c>
      <c r="AX202">
        <v>0</v>
      </c>
      <c r="AY202">
        <v>2</v>
      </c>
      <c r="AZ202">
        <v>0</v>
      </c>
      <c r="BA202">
        <v>21</v>
      </c>
      <c r="BM202">
        <v>2</v>
      </c>
      <c r="BN202">
        <v>310000</v>
      </c>
      <c r="BP202">
        <v>52500</v>
      </c>
      <c r="CI202">
        <v>315555</v>
      </c>
      <c r="CP202">
        <v>0</v>
      </c>
      <c r="CQ202">
        <v>0</v>
      </c>
      <c r="CR202">
        <v>0</v>
      </c>
    </row>
    <row r="203" spans="1:96" hidden="1" x14ac:dyDescent="0.3">
      <c r="A203">
        <v>202</v>
      </c>
      <c r="B203" t="s">
        <v>889</v>
      </c>
      <c r="C203">
        <v>28459164</v>
      </c>
      <c r="D203" t="s">
        <v>890</v>
      </c>
      <c r="E203" t="s">
        <v>871</v>
      </c>
      <c r="F203" t="s">
        <v>891</v>
      </c>
      <c r="G203" t="s">
        <v>139</v>
      </c>
      <c r="H203" s="1">
        <v>46096</v>
      </c>
      <c r="I203" t="s">
        <v>140</v>
      </c>
      <c r="J203" t="s">
        <v>102</v>
      </c>
      <c r="K203" t="s">
        <v>141</v>
      </c>
      <c r="L203">
        <v>1790000091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3</v>
      </c>
      <c r="AP203">
        <v>3</v>
      </c>
      <c r="AR203">
        <v>0</v>
      </c>
      <c r="AS203">
        <v>14</v>
      </c>
      <c r="AT203">
        <v>16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30</v>
      </c>
      <c r="CP203">
        <v>0</v>
      </c>
      <c r="CQ203">
        <v>0</v>
      </c>
      <c r="CR203">
        <v>0</v>
      </c>
    </row>
    <row r="204" spans="1:96" x14ac:dyDescent="0.3">
      <c r="H204" s="1"/>
    </row>
  </sheetData>
  <conditionalFormatting sqref="C2:C203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068D-A8DB-4696-868C-FC8D42040347}">
  <dimension ref="A1:D30"/>
  <sheetViews>
    <sheetView workbookViewId="0"/>
  </sheetViews>
  <sheetFormatPr baseColWidth="10" defaultColWidth="8.88671875" defaultRowHeight="14.4" x14ac:dyDescent="0.3"/>
  <sheetData>
    <row r="1" spans="1:4" x14ac:dyDescent="0.3">
      <c r="A1" s="5" t="s">
        <v>892</v>
      </c>
      <c r="B1" s="5" t="s">
        <v>893</v>
      </c>
      <c r="C1" s="5" t="s">
        <v>894</v>
      </c>
      <c r="D1" s="5" t="s">
        <v>895</v>
      </c>
    </row>
    <row r="2" spans="1:4" x14ac:dyDescent="0.3">
      <c r="A2" s="5">
        <v>7365743</v>
      </c>
      <c r="B2" s="5">
        <v>1</v>
      </c>
      <c r="C2" s="5" t="s">
        <v>896</v>
      </c>
      <c r="D2" s="5">
        <v>552163</v>
      </c>
    </row>
    <row r="3" spans="1:4" x14ac:dyDescent="0.3">
      <c r="A3" s="5">
        <v>9430404</v>
      </c>
      <c r="B3" s="5">
        <v>0</v>
      </c>
      <c r="C3" s="5" t="s">
        <v>897</v>
      </c>
      <c r="D3" s="5">
        <v>64673</v>
      </c>
    </row>
    <row r="4" spans="1:4" x14ac:dyDescent="0.3">
      <c r="A4" s="5">
        <v>9583446</v>
      </c>
      <c r="B4" s="5">
        <v>9</v>
      </c>
      <c r="C4" s="5" t="s">
        <v>898</v>
      </c>
      <c r="D4" s="5">
        <v>46152</v>
      </c>
    </row>
    <row r="5" spans="1:4" x14ac:dyDescent="0.3">
      <c r="A5" s="5">
        <v>9717041</v>
      </c>
      <c r="B5" s="5" t="s">
        <v>899</v>
      </c>
      <c r="C5" s="5" t="s">
        <v>900</v>
      </c>
      <c r="D5" s="5">
        <v>100429</v>
      </c>
    </row>
    <row r="6" spans="1:4" x14ac:dyDescent="0.3">
      <c r="A6" s="5">
        <v>11511458</v>
      </c>
      <c r="B6" s="5">
        <v>1</v>
      </c>
      <c r="C6" s="5" t="s">
        <v>901</v>
      </c>
      <c r="D6" s="5">
        <v>62330</v>
      </c>
    </row>
    <row r="7" spans="1:4" x14ac:dyDescent="0.3">
      <c r="A7" s="5">
        <v>11876153</v>
      </c>
      <c r="B7" s="5">
        <v>7</v>
      </c>
      <c r="C7" s="5" t="s">
        <v>902</v>
      </c>
      <c r="D7" s="5">
        <v>451560</v>
      </c>
    </row>
    <row r="8" spans="1:4" x14ac:dyDescent="0.3">
      <c r="A8" s="5">
        <v>11922653</v>
      </c>
      <c r="B8" s="5">
        <v>8</v>
      </c>
      <c r="C8" s="5" t="s">
        <v>903</v>
      </c>
      <c r="D8" s="5">
        <v>309350</v>
      </c>
    </row>
    <row r="9" spans="1:4" x14ac:dyDescent="0.3">
      <c r="A9" s="5">
        <v>12713498</v>
      </c>
      <c r="B9" s="5">
        <v>7</v>
      </c>
      <c r="C9" s="5" t="s">
        <v>904</v>
      </c>
      <c r="D9" s="5">
        <v>19252</v>
      </c>
    </row>
    <row r="10" spans="1:4" x14ac:dyDescent="0.3">
      <c r="A10" s="5">
        <v>12943659</v>
      </c>
      <c r="B10" s="5" t="s">
        <v>899</v>
      </c>
      <c r="C10" s="5" t="s">
        <v>905</v>
      </c>
      <c r="D10" s="5">
        <v>290002</v>
      </c>
    </row>
    <row r="11" spans="1:4" x14ac:dyDescent="0.3">
      <c r="A11" s="5">
        <v>13205525</v>
      </c>
      <c r="B11" s="5">
        <v>4</v>
      </c>
      <c r="C11" s="5" t="s">
        <v>906</v>
      </c>
      <c r="D11" s="5">
        <v>343828</v>
      </c>
    </row>
    <row r="12" spans="1:4" x14ac:dyDescent="0.3">
      <c r="A12" s="5">
        <v>14296775</v>
      </c>
      <c r="B12" s="5">
        <v>8</v>
      </c>
      <c r="C12" s="5" t="s">
        <v>907</v>
      </c>
      <c r="D12" s="5">
        <v>388170</v>
      </c>
    </row>
    <row r="13" spans="1:4" x14ac:dyDescent="0.3">
      <c r="A13" s="5">
        <v>15050650</v>
      </c>
      <c r="B13" s="5">
        <v>6</v>
      </c>
      <c r="C13" s="5" t="s">
        <v>908</v>
      </c>
      <c r="D13" s="5">
        <v>184089</v>
      </c>
    </row>
    <row r="14" spans="1:4" x14ac:dyDescent="0.3">
      <c r="A14" s="5">
        <v>15164558</v>
      </c>
      <c r="B14" s="5">
        <v>5</v>
      </c>
      <c r="C14" s="5" t="s">
        <v>909</v>
      </c>
      <c r="D14" s="5">
        <v>250278</v>
      </c>
    </row>
    <row r="15" spans="1:4" x14ac:dyDescent="0.3">
      <c r="A15" s="5">
        <v>15373866</v>
      </c>
      <c r="B15" s="5">
        <v>1</v>
      </c>
      <c r="C15" s="5" t="s">
        <v>910</v>
      </c>
      <c r="D15" s="5">
        <v>26705</v>
      </c>
    </row>
    <row r="16" spans="1:4" x14ac:dyDescent="0.3">
      <c r="A16" s="5">
        <v>15802017</v>
      </c>
      <c r="B16" s="5">
        <v>3</v>
      </c>
      <c r="C16" s="5" t="s">
        <v>911</v>
      </c>
      <c r="D16" s="5">
        <v>154145</v>
      </c>
    </row>
    <row r="17" spans="1:4" x14ac:dyDescent="0.3">
      <c r="A17" s="5">
        <v>16109258</v>
      </c>
      <c r="B17" s="5">
        <v>4</v>
      </c>
      <c r="C17" s="5" t="s">
        <v>912</v>
      </c>
      <c r="D17" s="5">
        <v>5522</v>
      </c>
    </row>
    <row r="18" spans="1:4" x14ac:dyDescent="0.3">
      <c r="A18" s="5">
        <v>16596546</v>
      </c>
      <c r="B18" s="5">
        <v>9</v>
      </c>
      <c r="C18" s="5" t="s">
        <v>913</v>
      </c>
      <c r="D18" s="5">
        <v>39152</v>
      </c>
    </row>
    <row r="19" spans="1:4" x14ac:dyDescent="0.3">
      <c r="A19" s="5">
        <v>16911975</v>
      </c>
      <c r="B19" s="5">
        <v>9</v>
      </c>
      <c r="C19" s="5" t="s">
        <v>914</v>
      </c>
      <c r="D19" s="5">
        <v>323598</v>
      </c>
    </row>
    <row r="20" spans="1:4" x14ac:dyDescent="0.3">
      <c r="A20" s="5">
        <v>17164817</v>
      </c>
      <c r="B20" s="5">
        <v>3</v>
      </c>
      <c r="C20" s="5" t="s">
        <v>915</v>
      </c>
      <c r="D20" s="5">
        <v>445677</v>
      </c>
    </row>
    <row r="21" spans="1:4" x14ac:dyDescent="0.3">
      <c r="A21" s="5">
        <v>17887975</v>
      </c>
      <c r="B21" s="5">
        <v>8</v>
      </c>
      <c r="C21" s="5" t="s">
        <v>916</v>
      </c>
      <c r="D21" s="5">
        <v>170812</v>
      </c>
    </row>
    <row r="22" spans="1:4" x14ac:dyDescent="0.3">
      <c r="A22" s="5">
        <v>18193913</v>
      </c>
      <c r="B22" s="5">
        <v>3</v>
      </c>
      <c r="C22" s="5" t="s">
        <v>917</v>
      </c>
      <c r="D22" s="5">
        <v>5522</v>
      </c>
    </row>
    <row r="23" spans="1:4" x14ac:dyDescent="0.3">
      <c r="A23" s="5">
        <v>18217453</v>
      </c>
      <c r="B23" s="5" t="s">
        <v>899</v>
      </c>
      <c r="C23" s="5" t="s">
        <v>918</v>
      </c>
      <c r="D23" s="5">
        <v>73099</v>
      </c>
    </row>
    <row r="24" spans="1:4" x14ac:dyDescent="0.3">
      <c r="A24" s="5">
        <v>18353315</v>
      </c>
      <c r="B24" s="5">
        <v>0</v>
      </c>
      <c r="C24" s="5" t="s">
        <v>919</v>
      </c>
      <c r="D24" s="5">
        <v>172524</v>
      </c>
    </row>
    <row r="25" spans="1:4" x14ac:dyDescent="0.3">
      <c r="A25" s="5">
        <v>19302584</v>
      </c>
      <c r="B25" s="5">
        <v>6</v>
      </c>
      <c r="C25" s="5" t="s">
        <v>920</v>
      </c>
      <c r="D25" s="5">
        <v>197253</v>
      </c>
    </row>
    <row r="26" spans="1:4" x14ac:dyDescent="0.3">
      <c r="A26" s="5">
        <v>19467130</v>
      </c>
      <c r="B26" s="5" t="s">
        <v>899</v>
      </c>
      <c r="C26" s="5" t="s">
        <v>921</v>
      </c>
      <c r="D26" s="5">
        <v>5522</v>
      </c>
    </row>
    <row r="27" spans="1:4" x14ac:dyDescent="0.3">
      <c r="A27" s="5">
        <v>19496318</v>
      </c>
      <c r="B27" s="5">
        <v>1</v>
      </c>
      <c r="C27" s="5" t="s">
        <v>922</v>
      </c>
      <c r="D27" s="5">
        <v>63000</v>
      </c>
    </row>
    <row r="28" spans="1:4" x14ac:dyDescent="0.3">
      <c r="A28" s="5">
        <v>20051179</v>
      </c>
      <c r="B28" s="5">
        <v>4</v>
      </c>
      <c r="C28" s="5" t="s">
        <v>923</v>
      </c>
      <c r="D28" s="5">
        <v>5522</v>
      </c>
    </row>
    <row r="29" spans="1:4" x14ac:dyDescent="0.3">
      <c r="A29" s="5">
        <v>20494956</v>
      </c>
      <c r="B29" s="5">
        <v>5</v>
      </c>
      <c r="C29" s="5" t="s">
        <v>924</v>
      </c>
      <c r="D29" s="5">
        <v>5522</v>
      </c>
    </row>
    <row r="30" spans="1:4" x14ac:dyDescent="0.3">
      <c r="A30" s="5">
        <v>20866663</v>
      </c>
      <c r="B30" s="5">
        <v>0</v>
      </c>
      <c r="C30" s="5" t="s">
        <v>925</v>
      </c>
      <c r="D30" s="5">
        <v>5522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F7EE-F316-4CD4-A4F3-6D4FC1FE0981}">
  <dimension ref="A1:D6"/>
  <sheetViews>
    <sheetView workbookViewId="0">
      <selection activeCell="C8" sqref="C8"/>
    </sheetView>
  </sheetViews>
  <sheetFormatPr baseColWidth="10" defaultColWidth="8.88671875" defaultRowHeight="14.4" x14ac:dyDescent="0.3"/>
  <cols>
    <col min="3" max="3" width="20.33203125" bestFit="1" customWidth="1"/>
  </cols>
  <sheetData>
    <row r="1" spans="1:4" x14ac:dyDescent="0.3">
      <c r="A1" s="8" t="s">
        <v>926</v>
      </c>
      <c r="B1" s="8" t="s">
        <v>927</v>
      </c>
      <c r="C1" s="8" t="s">
        <v>928</v>
      </c>
      <c r="D1" s="8" t="s">
        <v>929</v>
      </c>
    </row>
    <row r="2" spans="1:4" x14ac:dyDescent="0.3">
      <c r="A2" s="8">
        <v>13327527</v>
      </c>
      <c r="B2" s="8">
        <v>4</v>
      </c>
      <c r="C2" s="8" t="s">
        <v>930</v>
      </c>
      <c r="D2" s="8">
        <v>154868</v>
      </c>
    </row>
    <row r="3" spans="1:4" x14ac:dyDescent="0.3">
      <c r="A3" s="8">
        <v>8532533</v>
      </c>
      <c r="B3" s="8">
        <v>7</v>
      </c>
      <c r="C3" s="8" t="s">
        <v>931</v>
      </c>
      <c r="D3" s="8">
        <v>176117</v>
      </c>
    </row>
    <row r="4" spans="1:4" x14ac:dyDescent="0.3">
      <c r="A4" s="8">
        <v>15876024</v>
      </c>
      <c r="B4" s="8" t="s">
        <v>899</v>
      </c>
      <c r="C4" s="8" t="s">
        <v>932</v>
      </c>
      <c r="D4" s="8">
        <v>101408</v>
      </c>
    </row>
    <row r="5" spans="1:4" x14ac:dyDescent="0.3">
      <c r="A5" s="8">
        <v>10904003</v>
      </c>
      <c r="B5" s="8">
        <v>7</v>
      </c>
      <c r="C5" s="8" t="s">
        <v>933</v>
      </c>
      <c r="D5" s="8">
        <v>116803</v>
      </c>
    </row>
    <row r="6" spans="1:4" x14ac:dyDescent="0.3">
      <c r="A6" s="8"/>
      <c r="B6" s="8"/>
      <c r="C6" s="8"/>
      <c r="D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11A6-72CF-49D8-B1A4-B1BB747679F4}">
  <dimension ref="A1:C28"/>
  <sheetViews>
    <sheetView workbookViewId="0">
      <selection activeCell="F12" sqref="F12"/>
    </sheetView>
  </sheetViews>
  <sheetFormatPr baseColWidth="10" defaultColWidth="8.88671875" defaultRowHeight="14.4" x14ac:dyDescent="0.3"/>
  <sheetData>
    <row r="1" spans="1:3" x14ac:dyDescent="0.3">
      <c r="A1" t="s">
        <v>934</v>
      </c>
      <c r="B1" t="s">
        <v>935</v>
      </c>
      <c r="C1" s="3">
        <v>0.3</v>
      </c>
    </row>
    <row r="2" spans="1:3" x14ac:dyDescent="0.3">
      <c r="A2">
        <v>10675506</v>
      </c>
      <c r="B2" s="4">
        <v>155558</v>
      </c>
      <c r="C2">
        <v>46667</v>
      </c>
    </row>
    <row r="3" spans="1:3" x14ac:dyDescent="0.3">
      <c r="A3">
        <v>11265430</v>
      </c>
      <c r="B3" s="4">
        <v>151060</v>
      </c>
      <c r="C3">
        <v>45318</v>
      </c>
    </row>
    <row r="4" spans="1:3" x14ac:dyDescent="0.3">
      <c r="A4">
        <v>11876153</v>
      </c>
      <c r="B4" s="4">
        <v>155558</v>
      </c>
      <c r="C4">
        <v>46667</v>
      </c>
    </row>
    <row r="5" spans="1:3" x14ac:dyDescent="0.3">
      <c r="A5">
        <v>11922653</v>
      </c>
      <c r="B5" s="4">
        <v>109083</v>
      </c>
      <c r="C5">
        <v>32725</v>
      </c>
    </row>
    <row r="6" spans="1:3" x14ac:dyDescent="0.3">
      <c r="A6">
        <v>12227004</v>
      </c>
      <c r="B6" s="4">
        <v>109083</v>
      </c>
      <c r="C6">
        <v>32725</v>
      </c>
    </row>
    <row r="7" spans="1:3" x14ac:dyDescent="0.3">
      <c r="A7">
        <v>12487485</v>
      </c>
      <c r="B7" s="4">
        <v>62596</v>
      </c>
      <c r="C7">
        <v>18779</v>
      </c>
    </row>
    <row r="8" spans="1:3" x14ac:dyDescent="0.3">
      <c r="A8">
        <v>13419327</v>
      </c>
      <c r="B8" s="4">
        <v>155558</v>
      </c>
      <c r="C8">
        <v>46667</v>
      </c>
    </row>
    <row r="9" spans="1:3" x14ac:dyDescent="0.3">
      <c r="A9">
        <v>13531208</v>
      </c>
      <c r="B9" s="4">
        <v>155558</v>
      </c>
      <c r="C9">
        <v>46667</v>
      </c>
    </row>
    <row r="10" spans="1:3" x14ac:dyDescent="0.3">
      <c r="A10">
        <v>13702938</v>
      </c>
      <c r="B10" s="4">
        <v>155558</v>
      </c>
      <c r="C10">
        <v>46667</v>
      </c>
    </row>
    <row r="11" spans="1:3" x14ac:dyDescent="0.3">
      <c r="A11">
        <v>13904453</v>
      </c>
      <c r="B11" s="4">
        <v>155558</v>
      </c>
      <c r="C11">
        <v>46667</v>
      </c>
    </row>
    <row r="12" spans="1:3" x14ac:dyDescent="0.3">
      <c r="A12">
        <v>14113613</v>
      </c>
      <c r="B12" s="4">
        <v>155558</v>
      </c>
      <c r="C12">
        <v>46667</v>
      </c>
    </row>
    <row r="13" spans="1:3" x14ac:dyDescent="0.3">
      <c r="A13">
        <v>14129064</v>
      </c>
      <c r="B13" s="4">
        <v>155558</v>
      </c>
      <c r="C13">
        <v>46667</v>
      </c>
    </row>
    <row r="14" spans="1:3" x14ac:dyDescent="0.3">
      <c r="A14">
        <v>14309302</v>
      </c>
      <c r="B14" s="4">
        <v>155558</v>
      </c>
      <c r="C14">
        <v>46667</v>
      </c>
    </row>
    <row r="15" spans="1:3" x14ac:dyDescent="0.3">
      <c r="A15">
        <v>15018611</v>
      </c>
      <c r="B15" s="4">
        <v>155558</v>
      </c>
      <c r="C15">
        <v>46667</v>
      </c>
    </row>
    <row r="16" spans="1:3" x14ac:dyDescent="0.3">
      <c r="A16">
        <v>15164558</v>
      </c>
      <c r="B16" s="4">
        <v>155558</v>
      </c>
      <c r="C16">
        <v>46667</v>
      </c>
    </row>
    <row r="17" spans="1:3" x14ac:dyDescent="0.3">
      <c r="A17">
        <v>15661268</v>
      </c>
      <c r="B17" s="4">
        <v>155558</v>
      </c>
      <c r="C17">
        <v>46667</v>
      </c>
    </row>
    <row r="18" spans="1:3" x14ac:dyDescent="0.3">
      <c r="A18">
        <v>15684747</v>
      </c>
      <c r="B18" s="4">
        <v>155558</v>
      </c>
      <c r="C18">
        <v>46667</v>
      </c>
    </row>
    <row r="19" spans="1:3" x14ac:dyDescent="0.3">
      <c r="A19">
        <v>15936945</v>
      </c>
      <c r="B19" s="4">
        <v>109083</v>
      </c>
      <c r="C19">
        <v>32725</v>
      </c>
    </row>
    <row r="20" spans="1:3" x14ac:dyDescent="0.3">
      <c r="A20">
        <v>15982591</v>
      </c>
      <c r="B20" s="4">
        <v>62596</v>
      </c>
      <c r="C20">
        <v>18779</v>
      </c>
    </row>
    <row r="21" spans="1:3" x14ac:dyDescent="0.3">
      <c r="A21">
        <v>16911975</v>
      </c>
      <c r="B21" s="4">
        <v>155558</v>
      </c>
      <c r="C21">
        <v>46667</v>
      </c>
    </row>
    <row r="22" spans="1:3" x14ac:dyDescent="0.3">
      <c r="A22">
        <v>17119888</v>
      </c>
      <c r="B22" s="4">
        <v>155558</v>
      </c>
      <c r="C22">
        <v>46667</v>
      </c>
    </row>
    <row r="23" spans="1:3" x14ac:dyDescent="0.3">
      <c r="A23">
        <v>17164817</v>
      </c>
      <c r="B23" s="4">
        <v>109083</v>
      </c>
      <c r="C23">
        <v>32725</v>
      </c>
    </row>
    <row r="24" spans="1:3" x14ac:dyDescent="0.3">
      <c r="A24">
        <v>18008213</v>
      </c>
      <c r="B24" s="4">
        <v>62596</v>
      </c>
      <c r="C24">
        <v>18779</v>
      </c>
    </row>
    <row r="25" spans="1:3" x14ac:dyDescent="0.3">
      <c r="A25">
        <v>7365743</v>
      </c>
      <c r="B25" s="4">
        <v>155558</v>
      </c>
      <c r="C25">
        <v>46667</v>
      </c>
    </row>
    <row r="26" spans="1:3" x14ac:dyDescent="0.3">
      <c r="A26">
        <v>9205219</v>
      </c>
      <c r="B26" s="4">
        <v>155558</v>
      </c>
      <c r="C26">
        <v>46667</v>
      </c>
    </row>
    <row r="27" spans="1:3" x14ac:dyDescent="0.3">
      <c r="A27">
        <v>9430404</v>
      </c>
      <c r="B27" s="4">
        <v>62596</v>
      </c>
      <c r="C27">
        <v>18779</v>
      </c>
    </row>
    <row r="28" spans="1:3" x14ac:dyDescent="0.3">
      <c r="A28">
        <v>13531208</v>
      </c>
      <c r="B28" s="4">
        <v>155558</v>
      </c>
      <c r="C28">
        <v>46667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1BF4-CE59-4D0B-8FE9-7136CF2D5F4D}">
  <dimension ref="A1:C13"/>
  <sheetViews>
    <sheetView workbookViewId="0">
      <selection activeCell="A13" sqref="A13"/>
    </sheetView>
  </sheetViews>
  <sheetFormatPr baseColWidth="10" defaultColWidth="8.88671875" defaultRowHeight="14.4" x14ac:dyDescent="0.3"/>
  <cols>
    <col min="2" max="2" width="37.109375" customWidth="1"/>
  </cols>
  <sheetData>
    <row r="1" spans="1:3" x14ac:dyDescent="0.3">
      <c r="A1" s="7" t="s">
        <v>936</v>
      </c>
      <c r="B1" s="7" t="s">
        <v>937</v>
      </c>
      <c r="C1" s="7" t="s">
        <v>938</v>
      </c>
    </row>
    <row r="2" spans="1:3" ht="18" customHeight="1" x14ac:dyDescent="0.3">
      <c r="A2" s="6">
        <v>14129064</v>
      </c>
      <c r="B2" s="7" t="s">
        <v>939</v>
      </c>
      <c r="C2">
        <v>17600</v>
      </c>
    </row>
    <row r="3" spans="1:3" ht="18" customHeight="1" x14ac:dyDescent="0.3">
      <c r="A3" s="6">
        <v>15661268</v>
      </c>
      <c r="B3" s="7" t="s">
        <v>940</v>
      </c>
      <c r="C3">
        <v>17600</v>
      </c>
    </row>
    <row r="4" spans="1:3" ht="18" customHeight="1" x14ac:dyDescent="0.3">
      <c r="A4" s="6">
        <v>13531208</v>
      </c>
      <c r="B4" s="7" t="s">
        <v>941</v>
      </c>
      <c r="C4">
        <v>17600</v>
      </c>
    </row>
    <row r="5" spans="1:3" ht="18" customHeight="1" x14ac:dyDescent="0.3">
      <c r="A5" s="6">
        <v>15936945</v>
      </c>
      <c r="B5" s="7" t="s">
        <v>942</v>
      </c>
      <c r="C5">
        <v>8800</v>
      </c>
    </row>
    <row r="6" spans="1:3" ht="18" customHeight="1" x14ac:dyDescent="0.3">
      <c r="A6" s="6">
        <v>17164817</v>
      </c>
      <c r="B6" s="7" t="s">
        <v>943</v>
      </c>
      <c r="C6">
        <v>8800</v>
      </c>
    </row>
    <row r="7" spans="1:3" ht="18" customHeight="1" x14ac:dyDescent="0.3">
      <c r="A7" s="6">
        <v>11876153</v>
      </c>
      <c r="B7" s="7" t="s">
        <v>944</v>
      </c>
      <c r="C7">
        <v>17600</v>
      </c>
    </row>
    <row r="8" spans="1:3" ht="18" customHeight="1" x14ac:dyDescent="0.3">
      <c r="A8" s="6">
        <v>12227004</v>
      </c>
      <c r="B8" s="7" t="s">
        <v>945</v>
      </c>
      <c r="C8">
        <v>17600</v>
      </c>
    </row>
    <row r="9" spans="1:3" ht="18" customHeight="1" x14ac:dyDescent="0.3">
      <c r="A9" s="6">
        <v>10675506</v>
      </c>
      <c r="B9" s="7" t="s">
        <v>946</v>
      </c>
      <c r="C9">
        <v>17600</v>
      </c>
    </row>
    <row r="10" spans="1:3" ht="18" customHeight="1" x14ac:dyDescent="0.3">
      <c r="A10" s="6">
        <v>17119888</v>
      </c>
      <c r="B10" s="7" t="s">
        <v>947</v>
      </c>
      <c r="C10">
        <v>17600</v>
      </c>
    </row>
    <row r="11" spans="1:3" ht="18" customHeight="1" x14ac:dyDescent="0.3">
      <c r="A11" s="6">
        <v>13904453</v>
      </c>
      <c r="B11" s="7" t="s">
        <v>948</v>
      </c>
      <c r="C11">
        <v>8800</v>
      </c>
    </row>
    <row r="12" spans="1:3" ht="18" customHeight="1" x14ac:dyDescent="0.3">
      <c r="A12" s="6">
        <v>8077970</v>
      </c>
      <c r="B12" s="7" t="s">
        <v>949</v>
      </c>
      <c r="C12">
        <v>17600</v>
      </c>
    </row>
    <row r="13" spans="1:3" ht="18" customHeight="1" x14ac:dyDescent="0.3">
      <c r="A13" s="6">
        <v>12487485</v>
      </c>
      <c r="B13" s="7" t="s">
        <v>950</v>
      </c>
      <c r="C13">
        <v>17600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62E0-DE47-416F-B1D2-0793E05F9057}">
  <dimension ref="A1:CL29"/>
  <sheetViews>
    <sheetView workbookViewId="0"/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1.33203125" bestFit="1" customWidth="1"/>
    <col min="7" max="7" width="44.332031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46.441406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1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41.3320312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52.5546875" bestFit="1" customWidth="1"/>
    <col min="87" max="87" width="35.5546875" bestFit="1" customWidth="1"/>
    <col min="88" max="88" width="49.33203125" bestFit="1" customWidth="1"/>
    <col min="89" max="89" width="32.6640625" bestFit="1" customWidth="1"/>
    <col min="90" max="90" width="29.109375" bestFit="1" customWidth="1"/>
  </cols>
  <sheetData>
    <row r="1" spans="1:90" x14ac:dyDescent="0.3">
      <c r="A1" t="s">
        <v>951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952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">
      <c r="A2">
        <v>1</v>
      </c>
      <c r="B2" t="s">
        <v>96</v>
      </c>
      <c r="C2">
        <v>7365743</v>
      </c>
      <c r="D2" t="s">
        <v>97</v>
      </c>
      <c r="E2" t="s">
        <v>98</v>
      </c>
      <c r="F2" t="s">
        <v>99</v>
      </c>
      <c r="G2" t="s">
        <v>100</v>
      </c>
      <c r="H2" s="1"/>
      <c r="I2" t="s">
        <v>101</v>
      </c>
      <c r="J2" t="s">
        <v>102</v>
      </c>
      <c r="K2" t="s">
        <v>103</v>
      </c>
      <c r="L2">
        <v>1710000001</v>
      </c>
      <c r="M2">
        <v>1</v>
      </c>
      <c r="N2">
        <v>1</v>
      </c>
      <c r="O2">
        <v>3</v>
      </c>
      <c r="P2">
        <v>3</v>
      </c>
      <c r="Q2">
        <v>3</v>
      </c>
      <c r="R2">
        <v>1</v>
      </c>
      <c r="S2">
        <v>1</v>
      </c>
      <c r="T2">
        <v>1</v>
      </c>
      <c r="U2">
        <v>1</v>
      </c>
      <c r="V2">
        <v>1</v>
      </c>
      <c r="W2">
        <v>3</v>
      </c>
      <c r="X2">
        <v>3</v>
      </c>
      <c r="Y2">
        <v>1</v>
      </c>
      <c r="Z2">
        <v>1</v>
      </c>
      <c r="AA2">
        <v>1</v>
      </c>
      <c r="AB2">
        <v>1</v>
      </c>
      <c r="AC2">
        <v>1</v>
      </c>
      <c r="AD2">
        <v>3</v>
      </c>
      <c r="AE2">
        <v>3</v>
      </c>
      <c r="AF2">
        <v>1</v>
      </c>
      <c r="AG2">
        <v>1</v>
      </c>
      <c r="AH2">
        <v>1</v>
      </c>
      <c r="AI2">
        <v>1</v>
      </c>
      <c r="AJ2">
        <v>1</v>
      </c>
      <c r="AK2">
        <v>3</v>
      </c>
      <c r="AL2">
        <v>3</v>
      </c>
      <c r="AM2">
        <v>1</v>
      </c>
      <c r="AN2">
        <v>1</v>
      </c>
      <c r="AO2">
        <v>1</v>
      </c>
      <c r="AP2">
        <v>1</v>
      </c>
      <c r="AR2">
        <v>21</v>
      </c>
      <c r="AS2">
        <v>0</v>
      </c>
      <c r="AT2">
        <v>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</row>
    <row r="3" spans="1:90" x14ac:dyDescent="0.3">
      <c r="A3">
        <v>2</v>
      </c>
      <c r="B3" t="s">
        <v>111</v>
      </c>
      <c r="C3">
        <v>9205219</v>
      </c>
      <c r="D3" t="s">
        <v>112</v>
      </c>
      <c r="E3" t="s">
        <v>113</v>
      </c>
      <c r="F3" t="s">
        <v>114</v>
      </c>
      <c r="G3" t="s">
        <v>115</v>
      </c>
      <c r="H3" s="1"/>
      <c r="I3" t="s">
        <v>101</v>
      </c>
      <c r="J3" t="s">
        <v>102</v>
      </c>
      <c r="K3" t="s">
        <v>103</v>
      </c>
      <c r="L3">
        <v>1720000001</v>
      </c>
      <c r="M3">
        <v>1</v>
      </c>
      <c r="N3">
        <v>1</v>
      </c>
      <c r="O3">
        <v>3</v>
      </c>
      <c r="P3">
        <v>3</v>
      </c>
      <c r="Q3">
        <v>3</v>
      </c>
      <c r="R3">
        <v>1</v>
      </c>
      <c r="S3">
        <v>1</v>
      </c>
      <c r="T3">
        <v>1</v>
      </c>
      <c r="U3">
        <v>1</v>
      </c>
      <c r="V3">
        <v>3</v>
      </c>
      <c r="W3">
        <v>3</v>
      </c>
      <c r="X3">
        <v>3</v>
      </c>
      <c r="Y3">
        <v>1</v>
      </c>
      <c r="Z3">
        <v>1</v>
      </c>
      <c r="AA3">
        <v>1</v>
      </c>
      <c r="AB3">
        <v>1</v>
      </c>
      <c r="AC3">
        <v>3</v>
      </c>
      <c r="AD3">
        <v>3</v>
      </c>
      <c r="AE3">
        <v>3</v>
      </c>
      <c r="AF3">
        <v>1</v>
      </c>
      <c r="AG3">
        <v>1</v>
      </c>
      <c r="AH3">
        <v>1</v>
      </c>
      <c r="AI3">
        <v>1</v>
      </c>
      <c r="AJ3">
        <v>3</v>
      </c>
      <c r="AK3">
        <v>3</v>
      </c>
      <c r="AL3">
        <v>3</v>
      </c>
      <c r="AM3">
        <v>1</v>
      </c>
      <c r="AN3">
        <v>1</v>
      </c>
      <c r="AO3">
        <v>1</v>
      </c>
      <c r="AP3">
        <v>1</v>
      </c>
      <c r="AR3">
        <v>18</v>
      </c>
      <c r="AS3">
        <v>0</v>
      </c>
      <c r="AT3">
        <v>12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</row>
    <row r="4" spans="1:90" x14ac:dyDescent="0.3">
      <c r="A4">
        <v>3</v>
      </c>
      <c r="B4" t="s">
        <v>116</v>
      </c>
      <c r="C4">
        <v>9430404</v>
      </c>
      <c r="D4" t="s">
        <v>117</v>
      </c>
      <c r="E4" t="s">
        <v>118</v>
      </c>
      <c r="F4" t="s">
        <v>119</v>
      </c>
      <c r="G4" t="s">
        <v>120</v>
      </c>
      <c r="H4" s="1"/>
      <c r="I4" t="s">
        <v>101</v>
      </c>
      <c r="J4" t="s">
        <v>102</v>
      </c>
      <c r="K4" t="s">
        <v>103</v>
      </c>
      <c r="L4">
        <v>1740000002</v>
      </c>
      <c r="M4">
        <v>1</v>
      </c>
      <c r="N4">
        <v>1</v>
      </c>
      <c r="O4">
        <v>3</v>
      </c>
      <c r="P4">
        <v>3</v>
      </c>
      <c r="Q4">
        <v>3</v>
      </c>
      <c r="R4">
        <v>9</v>
      </c>
      <c r="S4">
        <v>9</v>
      </c>
      <c r="T4">
        <v>9</v>
      </c>
      <c r="U4">
        <v>9</v>
      </c>
      <c r="V4">
        <v>9</v>
      </c>
      <c r="W4">
        <v>9</v>
      </c>
      <c r="X4">
        <v>9</v>
      </c>
      <c r="Y4">
        <v>9</v>
      </c>
      <c r="Z4">
        <v>9</v>
      </c>
      <c r="AA4">
        <v>9</v>
      </c>
      <c r="AB4">
        <v>9</v>
      </c>
      <c r="AC4">
        <v>9</v>
      </c>
      <c r="AD4">
        <v>9</v>
      </c>
      <c r="AE4">
        <v>9</v>
      </c>
      <c r="AF4">
        <v>1</v>
      </c>
      <c r="AG4">
        <v>1</v>
      </c>
      <c r="AH4">
        <v>1</v>
      </c>
      <c r="AI4">
        <v>1</v>
      </c>
      <c r="AJ4">
        <v>1</v>
      </c>
      <c r="AK4">
        <v>3</v>
      </c>
      <c r="AL4">
        <v>3</v>
      </c>
      <c r="AM4">
        <v>1</v>
      </c>
      <c r="AN4">
        <v>1</v>
      </c>
      <c r="AO4">
        <v>1</v>
      </c>
      <c r="AP4">
        <v>1</v>
      </c>
      <c r="AR4">
        <v>11</v>
      </c>
      <c r="AS4">
        <v>0</v>
      </c>
      <c r="AT4">
        <v>5</v>
      </c>
      <c r="AU4">
        <v>0</v>
      </c>
      <c r="AV4">
        <v>0</v>
      </c>
      <c r="AW4">
        <v>0</v>
      </c>
      <c r="AX4">
        <v>0</v>
      </c>
      <c r="AY4">
        <v>0</v>
      </c>
      <c r="AZ4">
        <v>14</v>
      </c>
      <c r="BA4">
        <v>30</v>
      </c>
      <c r="CA4">
        <v>30000</v>
      </c>
      <c r="CB4" t="s">
        <v>121</v>
      </c>
    </row>
    <row r="5" spans="1:90" x14ac:dyDescent="0.3">
      <c r="A5">
        <v>4</v>
      </c>
      <c r="B5" t="s">
        <v>176</v>
      </c>
      <c r="C5">
        <v>10675506</v>
      </c>
      <c r="D5" t="s">
        <v>177</v>
      </c>
      <c r="E5" t="s">
        <v>178</v>
      </c>
      <c r="F5" t="s">
        <v>179</v>
      </c>
      <c r="G5" t="s">
        <v>180</v>
      </c>
      <c r="H5" s="1"/>
      <c r="I5" t="s">
        <v>101</v>
      </c>
      <c r="J5" t="s">
        <v>102</v>
      </c>
      <c r="K5" t="s">
        <v>103</v>
      </c>
      <c r="L5">
        <v>1740000003</v>
      </c>
      <c r="M5">
        <v>1</v>
      </c>
      <c r="N5">
        <v>1</v>
      </c>
      <c r="O5">
        <v>3</v>
      </c>
      <c r="P5">
        <v>3</v>
      </c>
      <c r="Q5">
        <v>3</v>
      </c>
      <c r="R5">
        <v>1</v>
      </c>
      <c r="S5">
        <v>1</v>
      </c>
      <c r="T5">
        <v>1</v>
      </c>
      <c r="U5">
        <v>1</v>
      </c>
      <c r="V5">
        <v>1</v>
      </c>
      <c r="W5">
        <v>3</v>
      </c>
      <c r="X5">
        <v>3</v>
      </c>
      <c r="Y5">
        <v>1</v>
      </c>
      <c r="Z5">
        <v>1</v>
      </c>
      <c r="AA5">
        <v>1</v>
      </c>
      <c r="AB5">
        <v>1</v>
      </c>
      <c r="AC5">
        <v>1</v>
      </c>
      <c r="AD5">
        <v>3</v>
      </c>
      <c r="AE5">
        <v>3</v>
      </c>
      <c r="AF5">
        <v>1</v>
      </c>
      <c r="AG5">
        <v>1</v>
      </c>
      <c r="AH5">
        <v>1</v>
      </c>
      <c r="AI5">
        <v>1</v>
      </c>
      <c r="AJ5">
        <v>1</v>
      </c>
      <c r="AK5">
        <v>3</v>
      </c>
      <c r="AL5">
        <v>3</v>
      </c>
      <c r="AM5">
        <v>1</v>
      </c>
      <c r="AN5">
        <v>1</v>
      </c>
      <c r="AO5">
        <v>1</v>
      </c>
      <c r="AP5">
        <v>1</v>
      </c>
      <c r="AR5">
        <v>21</v>
      </c>
      <c r="AS5">
        <v>0</v>
      </c>
      <c r="AT5">
        <v>9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  <c r="BW5">
        <v>110000</v>
      </c>
    </row>
    <row r="6" spans="1:90" x14ac:dyDescent="0.3">
      <c r="A6">
        <v>5</v>
      </c>
      <c r="B6" t="s">
        <v>234</v>
      </c>
      <c r="C6">
        <v>12227004</v>
      </c>
      <c r="D6" t="s">
        <v>235</v>
      </c>
      <c r="E6" t="s">
        <v>166</v>
      </c>
      <c r="F6" t="s">
        <v>236</v>
      </c>
      <c r="G6" t="s">
        <v>237</v>
      </c>
      <c r="H6" s="1"/>
      <c r="I6" t="s">
        <v>101</v>
      </c>
      <c r="J6" t="s">
        <v>102</v>
      </c>
      <c r="K6" t="s">
        <v>103</v>
      </c>
      <c r="L6">
        <v>1760000001</v>
      </c>
      <c r="M6">
        <v>1</v>
      </c>
      <c r="N6">
        <v>1</v>
      </c>
      <c r="O6">
        <v>3</v>
      </c>
      <c r="P6">
        <v>3</v>
      </c>
      <c r="Q6">
        <v>3</v>
      </c>
      <c r="R6">
        <v>1</v>
      </c>
      <c r="S6">
        <v>1</v>
      </c>
      <c r="T6">
        <v>1</v>
      </c>
      <c r="U6">
        <v>1</v>
      </c>
      <c r="V6">
        <v>1</v>
      </c>
      <c r="W6">
        <v>3</v>
      </c>
      <c r="X6">
        <v>3</v>
      </c>
      <c r="Y6">
        <v>1</v>
      </c>
      <c r="Z6">
        <v>1</v>
      </c>
      <c r="AA6">
        <v>1</v>
      </c>
      <c r="AB6">
        <v>1</v>
      </c>
      <c r="AC6">
        <v>1</v>
      </c>
      <c r="AD6">
        <v>3</v>
      </c>
      <c r="AE6">
        <v>3</v>
      </c>
      <c r="AF6">
        <v>1</v>
      </c>
      <c r="AG6">
        <v>1</v>
      </c>
      <c r="AH6">
        <v>1</v>
      </c>
      <c r="AI6">
        <v>1</v>
      </c>
      <c r="AJ6">
        <v>1</v>
      </c>
      <c r="AK6">
        <v>3</v>
      </c>
      <c r="AL6">
        <v>3</v>
      </c>
      <c r="AM6">
        <v>1</v>
      </c>
      <c r="AN6">
        <v>1</v>
      </c>
      <c r="AO6">
        <v>1</v>
      </c>
      <c r="AP6">
        <v>1</v>
      </c>
      <c r="AR6">
        <v>21</v>
      </c>
      <c r="AS6">
        <v>0</v>
      </c>
      <c r="AT6">
        <v>9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E6">
        <v>179000</v>
      </c>
      <c r="BF6" t="s">
        <v>238</v>
      </c>
    </row>
    <row r="7" spans="1:90" x14ac:dyDescent="0.3">
      <c r="A7">
        <v>6</v>
      </c>
      <c r="B7" t="s">
        <v>248</v>
      </c>
      <c r="C7">
        <v>12487485</v>
      </c>
      <c r="D7" t="s">
        <v>249</v>
      </c>
      <c r="E7" t="s">
        <v>250</v>
      </c>
      <c r="F7" t="s">
        <v>251</v>
      </c>
      <c r="G7" t="s">
        <v>252</v>
      </c>
      <c r="H7" s="1"/>
      <c r="I7" t="s">
        <v>101</v>
      </c>
      <c r="J7" t="s">
        <v>253</v>
      </c>
      <c r="K7" t="s">
        <v>103</v>
      </c>
      <c r="L7">
        <v>1720000001</v>
      </c>
      <c r="M7">
        <v>1</v>
      </c>
      <c r="N7">
        <v>1</v>
      </c>
      <c r="O7">
        <v>3</v>
      </c>
      <c r="P7">
        <v>3</v>
      </c>
      <c r="Q7">
        <v>3</v>
      </c>
      <c r="R7">
        <v>1</v>
      </c>
      <c r="S7">
        <v>1</v>
      </c>
      <c r="T7">
        <v>1</v>
      </c>
      <c r="U7">
        <v>1</v>
      </c>
      <c r="V7">
        <v>1</v>
      </c>
      <c r="W7">
        <v>3</v>
      </c>
      <c r="X7">
        <v>3</v>
      </c>
      <c r="Y7">
        <v>1</v>
      </c>
      <c r="Z7">
        <v>1</v>
      </c>
      <c r="AA7">
        <v>1</v>
      </c>
      <c r="AB7">
        <v>1</v>
      </c>
      <c r="AC7">
        <v>9</v>
      </c>
      <c r="AD7">
        <v>3</v>
      </c>
      <c r="AE7">
        <v>3</v>
      </c>
      <c r="AF7">
        <v>1</v>
      </c>
      <c r="AG7">
        <v>1</v>
      </c>
      <c r="AH7">
        <v>1</v>
      </c>
      <c r="AI7">
        <v>1</v>
      </c>
      <c r="AJ7">
        <v>1</v>
      </c>
      <c r="AK7">
        <v>3</v>
      </c>
      <c r="AL7">
        <v>3</v>
      </c>
      <c r="AM7">
        <v>1</v>
      </c>
      <c r="AN7">
        <v>1</v>
      </c>
      <c r="AO7">
        <v>1</v>
      </c>
      <c r="AP7">
        <v>1</v>
      </c>
      <c r="AR7">
        <v>20</v>
      </c>
      <c r="AS7">
        <v>0</v>
      </c>
      <c r="AT7">
        <v>9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30</v>
      </c>
    </row>
    <row r="8" spans="1:90" x14ac:dyDescent="0.3">
      <c r="A8">
        <v>7</v>
      </c>
      <c r="B8" t="s">
        <v>345</v>
      </c>
      <c r="C8">
        <v>13904453</v>
      </c>
      <c r="D8" t="s">
        <v>331</v>
      </c>
      <c r="E8" t="s">
        <v>225</v>
      </c>
      <c r="F8" t="s">
        <v>346</v>
      </c>
      <c r="G8" t="s">
        <v>347</v>
      </c>
      <c r="H8" s="1"/>
      <c r="I8" t="s">
        <v>101</v>
      </c>
      <c r="J8" t="s">
        <v>102</v>
      </c>
      <c r="K8" t="s">
        <v>103</v>
      </c>
      <c r="L8">
        <v>1740000001</v>
      </c>
      <c r="M8">
        <v>1</v>
      </c>
      <c r="N8">
        <v>1</v>
      </c>
      <c r="O8">
        <v>3</v>
      </c>
      <c r="P8">
        <v>3</v>
      </c>
      <c r="Q8">
        <v>3</v>
      </c>
      <c r="R8">
        <v>1</v>
      </c>
      <c r="S8">
        <v>1</v>
      </c>
      <c r="T8">
        <v>1</v>
      </c>
      <c r="U8">
        <v>1</v>
      </c>
      <c r="V8">
        <v>1</v>
      </c>
      <c r="W8">
        <v>3</v>
      </c>
      <c r="X8">
        <v>3</v>
      </c>
      <c r="Y8">
        <v>1</v>
      </c>
      <c r="Z8">
        <v>1</v>
      </c>
      <c r="AA8">
        <v>1</v>
      </c>
      <c r="AB8">
        <v>1</v>
      </c>
      <c r="AC8">
        <v>1</v>
      </c>
      <c r="AD8">
        <v>3</v>
      </c>
      <c r="AE8">
        <v>3</v>
      </c>
      <c r="AF8">
        <v>1</v>
      </c>
      <c r="AG8">
        <v>1</v>
      </c>
      <c r="AH8">
        <v>1</v>
      </c>
      <c r="AI8">
        <v>1</v>
      </c>
      <c r="AJ8">
        <v>1</v>
      </c>
      <c r="AK8">
        <v>3</v>
      </c>
      <c r="AL8">
        <v>3</v>
      </c>
      <c r="AM8">
        <v>1</v>
      </c>
      <c r="AN8">
        <v>1</v>
      </c>
      <c r="AO8">
        <v>1</v>
      </c>
      <c r="AP8">
        <v>1</v>
      </c>
      <c r="AR8">
        <v>21</v>
      </c>
      <c r="AS8">
        <v>0</v>
      </c>
      <c r="AT8">
        <v>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</row>
    <row r="9" spans="1:90" x14ac:dyDescent="0.3">
      <c r="A9">
        <v>8</v>
      </c>
      <c r="B9" t="s">
        <v>362</v>
      </c>
      <c r="C9">
        <v>14113613</v>
      </c>
      <c r="D9" t="s">
        <v>363</v>
      </c>
      <c r="E9" t="s">
        <v>364</v>
      </c>
      <c r="F9" t="s">
        <v>365</v>
      </c>
      <c r="G9" t="s">
        <v>366</v>
      </c>
      <c r="H9" s="1"/>
      <c r="I9" t="s">
        <v>101</v>
      </c>
      <c r="J9" t="s">
        <v>102</v>
      </c>
      <c r="K9" t="s">
        <v>103</v>
      </c>
      <c r="L9">
        <v>1740000001</v>
      </c>
      <c r="M9">
        <v>1</v>
      </c>
      <c r="N9">
        <v>1</v>
      </c>
      <c r="O9">
        <v>3</v>
      </c>
      <c r="P9">
        <v>3</v>
      </c>
      <c r="Q9">
        <v>3</v>
      </c>
      <c r="R9">
        <v>1</v>
      </c>
      <c r="S9">
        <v>1</v>
      </c>
      <c r="T9">
        <v>1</v>
      </c>
      <c r="U9">
        <v>1</v>
      </c>
      <c r="V9">
        <v>1</v>
      </c>
      <c r="W9">
        <v>3</v>
      </c>
      <c r="X9">
        <v>3</v>
      </c>
      <c r="Y9">
        <v>1</v>
      </c>
      <c r="Z9">
        <v>1</v>
      </c>
      <c r="AA9">
        <v>1</v>
      </c>
      <c r="AB9">
        <v>1</v>
      </c>
      <c r="AC9">
        <v>1</v>
      </c>
      <c r="AD9">
        <v>3</v>
      </c>
      <c r="AE9">
        <v>3</v>
      </c>
      <c r="AF9">
        <v>1</v>
      </c>
      <c r="AG9">
        <v>1</v>
      </c>
      <c r="AH9">
        <v>1</v>
      </c>
      <c r="AI9">
        <v>1</v>
      </c>
      <c r="AJ9">
        <v>1</v>
      </c>
      <c r="AK9">
        <v>3</v>
      </c>
      <c r="AL9">
        <v>3</v>
      </c>
      <c r="AM9">
        <v>1</v>
      </c>
      <c r="AN9">
        <v>1</v>
      </c>
      <c r="AO9">
        <v>1</v>
      </c>
      <c r="AP9">
        <v>1</v>
      </c>
      <c r="AR9">
        <v>21</v>
      </c>
      <c r="AS9">
        <v>0</v>
      </c>
      <c r="AT9">
        <v>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</row>
    <row r="10" spans="1:90" x14ac:dyDescent="0.3">
      <c r="A10">
        <v>9</v>
      </c>
      <c r="B10" t="s">
        <v>367</v>
      </c>
      <c r="C10">
        <v>14129064</v>
      </c>
      <c r="D10" t="s">
        <v>132</v>
      </c>
      <c r="E10" t="s">
        <v>368</v>
      </c>
      <c r="F10" t="s">
        <v>369</v>
      </c>
      <c r="G10" t="s">
        <v>370</v>
      </c>
      <c r="H10" s="1"/>
      <c r="I10" t="s">
        <v>101</v>
      </c>
      <c r="J10" t="s">
        <v>102</v>
      </c>
      <c r="K10" t="s">
        <v>103</v>
      </c>
      <c r="L10">
        <v>1720000002</v>
      </c>
      <c r="M10">
        <v>1</v>
      </c>
      <c r="N10">
        <v>1</v>
      </c>
      <c r="O10">
        <v>3</v>
      </c>
      <c r="P10">
        <v>3</v>
      </c>
      <c r="Q10">
        <v>3</v>
      </c>
      <c r="R10">
        <v>1</v>
      </c>
      <c r="S10">
        <v>1</v>
      </c>
      <c r="T10">
        <v>1</v>
      </c>
      <c r="U10">
        <v>1</v>
      </c>
      <c r="V10">
        <v>1</v>
      </c>
      <c r="W10">
        <v>3</v>
      </c>
      <c r="X10">
        <v>3</v>
      </c>
      <c r="Y10">
        <v>1</v>
      </c>
      <c r="Z10">
        <v>1</v>
      </c>
      <c r="AA10">
        <v>1</v>
      </c>
      <c r="AB10">
        <v>1</v>
      </c>
      <c r="AC10">
        <v>1</v>
      </c>
      <c r="AD10">
        <v>3</v>
      </c>
      <c r="AE10">
        <v>3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3</v>
      </c>
      <c r="AL10">
        <v>3</v>
      </c>
      <c r="AM10">
        <v>1</v>
      </c>
      <c r="AN10">
        <v>1</v>
      </c>
      <c r="AO10">
        <v>1</v>
      </c>
      <c r="AP10">
        <v>1</v>
      </c>
      <c r="AR10">
        <v>21</v>
      </c>
      <c r="AS10">
        <v>0</v>
      </c>
      <c r="AT10">
        <v>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</row>
    <row r="11" spans="1:90" x14ac:dyDescent="0.3">
      <c r="A11">
        <v>10</v>
      </c>
      <c r="B11" t="s">
        <v>434</v>
      </c>
      <c r="C11">
        <v>15661268</v>
      </c>
      <c r="D11" t="s">
        <v>435</v>
      </c>
      <c r="E11" t="s">
        <v>436</v>
      </c>
      <c r="F11" t="s">
        <v>437</v>
      </c>
      <c r="G11" t="s">
        <v>438</v>
      </c>
      <c r="H11" s="1"/>
      <c r="I11" t="s">
        <v>101</v>
      </c>
      <c r="J11" t="s">
        <v>102</v>
      </c>
      <c r="K11" t="s">
        <v>103</v>
      </c>
      <c r="L11">
        <v>1750000001</v>
      </c>
      <c r="M11">
        <v>1</v>
      </c>
      <c r="N11">
        <v>1</v>
      </c>
      <c r="O11">
        <v>3</v>
      </c>
      <c r="P11">
        <v>3</v>
      </c>
      <c r="Q11">
        <v>3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3</v>
      </c>
      <c r="AE11">
        <v>3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3</v>
      </c>
      <c r="AL11">
        <v>3</v>
      </c>
      <c r="AM11">
        <v>1</v>
      </c>
      <c r="AN11">
        <v>1</v>
      </c>
      <c r="AO11">
        <v>1</v>
      </c>
      <c r="AP11">
        <v>1</v>
      </c>
      <c r="AR11">
        <v>23</v>
      </c>
      <c r="AS11">
        <v>0</v>
      </c>
      <c r="AT11">
        <v>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</row>
    <row r="12" spans="1:90" x14ac:dyDescent="0.3">
      <c r="A12">
        <v>11</v>
      </c>
      <c r="B12" t="s">
        <v>461</v>
      </c>
      <c r="C12">
        <v>15936945</v>
      </c>
      <c r="D12" t="s">
        <v>411</v>
      </c>
      <c r="E12" t="s">
        <v>462</v>
      </c>
      <c r="F12" t="s">
        <v>463</v>
      </c>
      <c r="G12" t="s">
        <v>464</v>
      </c>
      <c r="H12" s="1"/>
      <c r="I12" t="s">
        <v>101</v>
      </c>
      <c r="J12" t="s">
        <v>253</v>
      </c>
      <c r="K12" t="s">
        <v>103</v>
      </c>
      <c r="L12">
        <v>1750000001</v>
      </c>
      <c r="M12">
        <v>1</v>
      </c>
      <c r="N12">
        <v>1</v>
      </c>
      <c r="O12">
        <v>3</v>
      </c>
      <c r="P12">
        <v>3</v>
      </c>
      <c r="Q12">
        <v>3</v>
      </c>
      <c r="R12">
        <v>1</v>
      </c>
      <c r="S12">
        <v>1</v>
      </c>
      <c r="T12">
        <v>1</v>
      </c>
      <c r="U12">
        <v>1</v>
      </c>
      <c r="V12">
        <v>1</v>
      </c>
      <c r="W12">
        <v>3</v>
      </c>
      <c r="X12">
        <v>3</v>
      </c>
      <c r="Y12">
        <v>1</v>
      </c>
      <c r="Z12">
        <v>1</v>
      </c>
      <c r="AA12">
        <v>1</v>
      </c>
      <c r="AB12">
        <v>1</v>
      </c>
      <c r="AC12">
        <v>1</v>
      </c>
      <c r="AD12">
        <v>3</v>
      </c>
      <c r="AE12">
        <v>3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3</v>
      </c>
      <c r="AL12">
        <v>3</v>
      </c>
      <c r="AM12">
        <v>1</v>
      </c>
      <c r="AN12">
        <v>1</v>
      </c>
      <c r="AO12">
        <v>1</v>
      </c>
      <c r="AP12">
        <v>1</v>
      </c>
      <c r="AR12">
        <v>21</v>
      </c>
      <c r="AS12">
        <v>0</v>
      </c>
      <c r="AT12">
        <v>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</row>
    <row r="13" spans="1:90" x14ac:dyDescent="0.3">
      <c r="A13">
        <v>12</v>
      </c>
      <c r="B13" t="s">
        <v>514</v>
      </c>
      <c r="C13">
        <v>16481993</v>
      </c>
      <c r="D13" t="s">
        <v>515</v>
      </c>
      <c r="E13" t="s">
        <v>516</v>
      </c>
      <c r="F13" t="s">
        <v>517</v>
      </c>
      <c r="G13" t="s">
        <v>308</v>
      </c>
      <c r="H13" s="1"/>
      <c r="I13" t="s">
        <v>140</v>
      </c>
      <c r="J13" t="s">
        <v>253</v>
      </c>
      <c r="K13" t="s">
        <v>103</v>
      </c>
      <c r="L13">
        <v>1740000002</v>
      </c>
      <c r="M13">
        <v>1</v>
      </c>
      <c r="N13">
        <v>1</v>
      </c>
      <c r="O13">
        <v>3</v>
      </c>
      <c r="P13">
        <v>3</v>
      </c>
      <c r="Q13">
        <v>3</v>
      </c>
      <c r="R13">
        <v>1</v>
      </c>
      <c r="S13">
        <v>1</v>
      </c>
      <c r="T13">
        <v>1</v>
      </c>
      <c r="U13">
        <v>1</v>
      </c>
      <c r="V13">
        <v>1</v>
      </c>
      <c r="W13">
        <v>3</v>
      </c>
      <c r="X13">
        <v>3</v>
      </c>
      <c r="Y13">
        <v>1</v>
      </c>
      <c r="Z13">
        <v>1</v>
      </c>
      <c r="AA13">
        <v>1</v>
      </c>
      <c r="AB13">
        <v>1</v>
      </c>
      <c r="AC13">
        <v>1</v>
      </c>
      <c r="AD13">
        <v>3</v>
      </c>
      <c r="AE13">
        <v>3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3</v>
      </c>
      <c r="AL13">
        <v>3</v>
      </c>
      <c r="AM13">
        <v>1</v>
      </c>
      <c r="AN13">
        <v>1</v>
      </c>
      <c r="AO13">
        <v>1</v>
      </c>
      <c r="AP13">
        <v>1</v>
      </c>
      <c r="AR13">
        <v>21</v>
      </c>
      <c r="AS13">
        <v>0</v>
      </c>
      <c r="AT13">
        <v>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</row>
    <row r="14" spans="1:90" x14ac:dyDescent="0.3">
      <c r="A14">
        <v>13</v>
      </c>
      <c r="B14" t="s">
        <v>527</v>
      </c>
      <c r="C14">
        <v>16911975</v>
      </c>
      <c r="D14" t="s">
        <v>132</v>
      </c>
      <c r="E14" t="s">
        <v>528</v>
      </c>
      <c r="F14" t="s">
        <v>529</v>
      </c>
      <c r="G14" t="s">
        <v>530</v>
      </c>
      <c r="H14" s="1"/>
      <c r="I14" t="s">
        <v>101</v>
      </c>
      <c r="J14" t="s">
        <v>253</v>
      </c>
      <c r="K14" t="s">
        <v>103</v>
      </c>
      <c r="L14">
        <v>1720000002</v>
      </c>
      <c r="M14">
        <v>1</v>
      </c>
      <c r="N14">
        <v>1</v>
      </c>
      <c r="O14">
        <v>3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1</v>
      </c>
      <c r="W14">
        <v>3</v>
      </c>
      <c r="X14">
        <v>3</v>
      </c>
      <c r="Y14">
        <v>1</v>
      </c>
      <c r="Z14">
        <v>1</v>
      </c>
      <c r="AA14">
        <v>1</v>
      </c>
      <c r="AB14">
        <v>1</v>
      </c>
      <c r="AC14">
        <v>1</v>
      </c>
      <c r="AD14">
        <v>3</v>
      </c>
      <c r="AE14">
        <v>3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3</v>
      </c>
      <c r="AL14">
        <v>3</v>
      </c>
      <c r="AM14">
        <v>1</v>
      </c>
      <c r="AN14">
        <v>1</v>
      </c>
      <c r="AO14">
        <v>1</v>
      </c>
      <c r="AP14">
        <v>1</v>
      </c>
      <c r="AR14">
        <v>21</v>
      </c>
      <c r="AS14">
        <v>0</v>
      </c>
      <c r="AT14">
        <v>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</row>
    <row r="15" spans="1:90" x14ac:dyDescent="0.3">
      <c r="A15">
        <v>14</v>
      </c>
      <c r="B15" t="s">
        <v>547</v>
      </c>
      <c r="C15">
        <v>17119888</v>
      </c>
      <c r="D15" t="s">
        <v>548</v>
      </c>
      <c r="E15" t="s">
        <v>549</v>
      </c>
      <c r="F15" t="s">
        <v>550</v>
      </c>
      <c r="G15" t="s">
        <v>551</v>
      </c>
      <c r="H15" s="1"/>
      <c r="I15" t="s">
        <v>101</v>
      </c>
      <c r="J15" t="s">
        <v>253</v>
      </c>
      <c r="K15" t="s">
        <v>103</v>
      </c>
      <c r="L15">
        <v>1740000001</v>
      </c>
      <c r="M15">
        <v>1</v>
      </c>
      <c r="N15">
        <v>1</v>
      </c>
      <c r="O15">
        <v>3</v>
      </c>
      <c r="P15">
        <v>3</v>
      </c>
      <c r="Q15">
        <v>3</v>
      </c>
      <c r="R15">
        <v>1</v>
      </c>
      <c r="S15">
        <v>1</v>
      </c>
      <c r="T15">
        <v>1</v>
      </c>
      <c r="U15">
        <v>1</v>
      </c>
      <c r="V15">
        <v>1</v>
      </c>
      <c r="W15">
        <v>3</v>
      </c>
      <c r="X15">
        <v>3</v>
      </c>
      <c r="Y15">
        <v>1</v>
      </c>
      <c r="Z15">
        <v>1</v>
      </c>
      <c r="AA15">
        <v>1</v>
      </c>
      <c r="AB15">
        <v>1</v>
      </c>
      <c r="AC15">
        <v>1</v>
      </c>
      <c r="AD15">
        <v>3</v>
      </c>
      <c r="AE15">
        <v>3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3</v>
      </c>
      <c r="AL15">
        <v>3</v>
      </c>
      <c r="AM15">
        <v>1</v>
      </c>
      <c r="AN15">
        <v>1</v>
      </c>
      <c r="AO15">
        <v>1</v>
      </c>
      <c r="AP15">
        <v>1</v>
      </c>
      <c r="AR15">
        <v>21</v>
      </c>
      <c r="AS15">
        <v>0</v>
      </c>
      <c r="AT15">
        <v>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</row>
    <row r="16" spans="1:90" x14ac:dyDescent="0.3">
      <c r="A16">
        <v>15</v>
      </c>
      <c r="B16" t="s">
        <v>556</v>
      </c>
      <c r="C16">
        <v>17164817</v>
      </c>
      <c r="D16" t="s">
        <v>262</v>
      </c>
      <c r="E16" t="s">
        <v>557</v>
      </c>
      <c r="F16" t="s">
        <v>558</v>
      </c>
      <c r="G16" t="s">
        <v>559</v>
      </c>
      <c r="H16" s="1"/>
      <c r="I16" t="s">
        <v>101</v>
      </c>
      <c r="J16" t="s">
        <v>253</v>
      </c>
      <c r="K16" t="s">
        <v>103</v>
      </c>
      <c r="L16">
        <v>1740000001</v>
      </c>
      <c r="M16">
        <v>1</v>
      </c>
      <c r="N16">
        <v>1</v>
      </c>
      <c r="O16">
        <v>3</v>
      </c>
      <c r="P16">
        <v>3</v>
      </c>
      <c r="Q16">
        <v>3</v>
      </c>
      <c r="R16">
        <v>1</v>
      </c>
      <c r="S16">
        <v>1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1</v>
      </c>
      <c r="AJ16">
        <v>1</v>
      </c>
      <c r="AK16">
        <v>3</v>
      </c>
      <c r="AL16">
        <v>3</v>
      </c>
      <c r="AM16">
        <v>1</v>
      </c>
      <c r="AN16">
        <v>1</v>
      </c>
      <c r="AO16">
        <v>1</v>
      </c>
      <c r="AP16">
        <v>1</v>
      </c>
      <c r="AR16">
        <v>10</v>
      </c>
      <c r="AS16">
        <v>0</v>
      </c>
      <c r="AT16">
        <v>5</v>
      </c>
      <c r="AU16">
        <v>15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15</v>
      </c>
    </row>
    <row r="17" spans="1:86" x14ac:dyDescent="0.3">
      <c r="A17">
        <v>16</v>
      </c>
      <c r="B17" t="s">
        <v>730</v>
      </c>
      <c r="C17">
        <v>19445770</v>
      </c>
      <c r="D17" t="s">
        <v>731</v>
      </c>
      <c r="E17" t="s">
        <v>314</v>
      </c>
      <c r="F17" t="s">
        <v>732</v>
      </c>
      <c r="G17" t="s">
        <v>733</v>
      </c>
      <c r="H17" s="1"/>
      <c r="I17" t="s">
        <v>101</v>
      </c>
      <c r="J17" t="s">
        <v>253</v>
      </c>
      <c r="K17" t="s">
        <v>103</v>
      </c>
      <c r="L17">
        <v>1770000002</v>
      </c>
      <c r="M17">
        <v>1</v>
      </c>
      <c r="N17">
        <v>1</v>
      </c>
      <c r="O17">
        <v>3</v>
      </c>
      <c r="P17">
        <v>3</v>
      </c>
      <c r="Q17">
        <v>3</v>
      </c>
      <c r="R17">
        <v>1</v>
      </c>
      <c r="S17">
        <v>1</v>
      </c>
      <c r="T17">
        <v>1</v>
      </c>
      <c r="U17">
        <v>1</v>
      </c>
      <c r="V17">
        <v>1</v>
      </c>
      <c r="W17">
        <v>3</v>
      </c>
      <c r="X17">
        <v>3</v>
      </c>
      <c r="Y17">
        <v>1</v>
      </c>
      <c r="Z17">
        <v>1</v>
      </c>
      <c r="AA17">
        <v>1</v>
      </c>
      <c r="AB17">
        <v>1</v>
      </c>
      <c r="AC17">
        <v>1</v>
      </c>
      <c r="AD17">
        <v>3</v>
      </c>
      <c r="AE17">
        <v>3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3</v>
      </c>
      <c r="AL17">
        <v>3</v>
      </c>
      <c r="AM17">
        <v>1</v>
      </c>
      <c r="AN17">
        <v>1</v>
      </c>
      <c r="AO17">
        <v>1</v>
      </c>
      <c r="AP17">
        <v>1</v>
      </c>
      <c r="AR17">
        <v>21</v>
      </c>
      <c r="AS17">
        <v>0</v>
      </c>
      <c r="AT17">
        <v>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</row>
    <row r="18" spans="1:86" x14ac:dyDescent="0.3">
      <c r="A18">
        <v>17</v>
      </c>
      <c r="B18" t="s">
        <v>855</v>
      </c>
      <c r="C18">
        <v>24718250</v>
      </c>
      <c r="D18" t="s">
        <v>856</v>
      </c>
      <c r="E18" t="s">
        <v>491</v>
      </c>
      <c r="F18" t="s">
        <v>857</v>
      </c>
      <c r="G18" t="s">
        <v>858</v>
      </c>
      <c r="H18" s="1"/>
      <c r="I18" t="s">
        <v>101</v>
      </c>
      <c r="J18" t="s">
        <v>102</v>
      </c>
      <c r="K18" t="s">
        <v>103</v>
      </c>
      <c r="L18">
        <v>1770000002</v>
      </c>
      <c r="M18">
        <v>1</v>
      </c>
      <c r="N18">
        <v>1</v>
      </c>
      <c r="O18">
        <v>3</v>
      </c>
      <c r="P18">
        <v>3</v>
      </c>
      <c r="Q18">
        <v>3</v>
      </c>
      <c r="R18">
        <v>1</v>
      </c>
      <c r="S18">
        <v>1</v>
      </c>
      <c r="T18">
        <v>1</v>
      </c>
      <c r="U18">
        <v>1</v>
      </c>
      <c r="V18">
        <v>1</v>
      </c>
      <c r="W18">
        <v>3</v>
      </c>
      <c r="X18">
        <v>3</v>
      </c>
      <c r="Y18">
        <v>1</v>
      </c>
      <c r="Z18">
        <v>1</v>
      </c>
      <c r="AA18">
        <v>1</v>
      </c>
      <c r="AB18">
        <v>1</v>
      </c>
      <c r="AC18">
        <v>1</v>
      </c>
      <c r="AD18">
        <v>3</v>
      </c>
      <c r="AE18">
        <v>3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3</v>
      </c>
      <c r="AL18">
        <v>3</v>
      </c>
      <c r="AM18">
        <v>1</v>
      </c>
      <c r="AN18">
        <v>1</v>
      </c>
      <c r="AO18">
        <v>1</v>
      </c>
      <c r="AP18">
        <v>1</v>
      </c>
      <c r="AR18">
        <v>21</v>
      </c>
      <c r="AS18">
        <v>0</v>
      </c>
      <c r="AT18">
        <v>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86" x14ac:dyDescent="0.3">
      <c r="A19">
        <v>18</v>
      </c>
      <c r="B19" t="s">
        <v>130</v>
      </c>
      <c r="C19">
        <v>9717041</v>
      </c>
      <c r="D19" t="s">
        <v>131</v>
      </c>
      <c r="E19" t="s">
        <v>132</v>
      </c>
      <c r="F19" t="s">
        <v>133</v>
      </c>
      <c r="G19" t="s">
        <v>134</v>
      </c>
      <c r="H19" s="1"/>
      <c r="I19" t="s">
        <v>101</v>
      </c>
      <c r="J19" t="s">
        <v>102</v>
      </c>
      <c r="K19" t="s">
        <v>103</v>
      </c>
      <c r="L19">
        <v>1790000088</v>
      </c>
      <c r="M19">
        <v>1</v>
      </c>
      <c r="N19">
        <v>1</v>
      </c>
      <c r="O19">
        <v>3</v>
      </c>
      <c r="P19">
        <v>3</v>
      </c>
      <c r="Q19">
        <v>3</v>
      </c>
      <c r="R19">
        <v>1</v>
      </c>
      <c r="S19">
        <v>1</v>
      </c>
      <c r="T19">
        <v>1</v>
      </c>
      <c r="U19">
        <v>1</v>
      </c>
      <c r="V19">
        <v>1</v>
      </c>
      <c r="W19">
        <v>3</v>
      </c>
      <c r="X19">
        <v>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3</v>
      </c>
      <c r="AE19">
        <v>3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3</v>
      </c>
      <c r="AL19">
        <v>3</v>
      </c>
      <c r="AM19">
        <v>1</v>
      </c>
      <c r="AN19">
        <v>1</v>
      </c>
      <c r="AO19">
        <v>1</v>
      </c>
      <c r="AP19">
        <v>1</v>
      </c>
      <c r="AR19">
        <v>21</v>
      </c>
      <c r="AS19">
        <v>0</v>
      </c>
      <c r="AT19">
        <v>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W19">
        <v>110000</v>
      </c>
    </row>
    <row r="20" spans="1:86" x14ac:dyDescent="0.3">
      <c r="A20">
        <v>19</v>
      </c>
      <c r="B20" t="s">
        <v>779</v>
      </c>
      <c r="C20">
        <v>20091945</v>
      </c>
      <c r="D20" t="s">
        <v>320</v>
      </c>
      <c r="E20" t="s">
        <v>403</v>
      </c>
      <c r="F20" t="s">
        <v>780</v>
      </c>
      <c r="G20" t="s">
        <v>781</v>
      </c>
      <c r="H20" s="1"/>
      <c r="I20" t="s">
        <v>101</v>
      </c>
      <c r="J20" t="s">
        <v>253</v>
      </c>
      <c r="K20" t="s">
        <v>103</v>
      </c>
      <c r="L20">
        <v>1790000091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R20">
        <v>0</v>
      </c>
      <c r="AS20">
        <v>0</v>
      </c>
      <c r="AT20">
        <v>0</v>
      </c>
      <c r="AU20">
        <v>30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86" x14ac:dyDescent="0.3">
      <c r="A21">
        <v>20</v>
      </c>
      <c r="B21" t="s">
        <v>224</v>
      </c>
      <c r="C21">
        <v>11922653</v>
      </c>
      <c r="D21" t="s">
        <v>225</v>
      </c>
      <c r="E21" t="s">
        <v>226</v>
      </c>
      <c r="F21" t="s">
        <v>227</v>
      </c>
      <c r="G21" t="s">
        <v>228</v>
      </c>
      <c r="H21" s="1"/>
      <c r="I21" t="s">
        <v>101</v>
      </c>
      <c r="J21" t="s">
        <v>102</v>
      </c>
      <c r="K21" t="s">
        <v>103</v>
      </c>
      <c r="L21">
        <v>1790000088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1</v>
      </c>
      <c r="T21">
        <v>1</v>
      </c>
      <c r="U21">
        <v>1</v>
      </c>
      <c r="V21">
        <v>1</v>
      </c>
      <c r="W21">
        <v>3</v>
      </c>
      <c r="X21">
        <v>3</v>
      </c>
      <c r="Y21">
        <v>1</v>
      </c>
      <c r="Z21">
        <v>1</v>
      </c>
      <c r="AA21">
        <v>1</v>
      </c>
      <c r="AB21">
        <v>1</v>
      </c>
      <c r="AC21">
        <v>1</v>
      </c>
      <c r="AD21">
        <v>3</v>
      </c>
      <c r="AE21">
        <v>3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3</v>
      </c>
      <c r="AL21">
        <v>3</v>
      </c>
      <c r="AM21">
        <v>1</v>
      </c>
      <c r="AN21">
        <v>1</v>
      </c>
      <c r="AO21">
        <v>1</v>
      </c>
      <c r="AP21">
        <v>1</v>
      </c>
      <c r="AR21">
        <v>18</v>
      </c>
      <c r="AS21">
        <v>0</v>
      </c>
      <c r="AT21">
        <v>6</v>
      </c>
      <c r="AU21">
        <v>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24</v>
      </c>
    </row>
    <row r="22" spans="1:86" x14ac:dyDescent="0.3">
      <c r="A22">
        <v>21</v>
      </c>
      <c r="B22" t="s">
        <v>304</v>
      </c>
      <c r="C22">
        <v>13205525</v>
      </c>
      <c r="D22" t="s">
        <v>305</v>
      </c>
      <c r="E22" t="s">
        <v>306</v>
      </c>
      <c r="F22" t="s">
        <v>307</v>
      </c>
      <c r="G22" t="s">
        <v>308</v>
      </c>
      <c r="H22" s="1">
        <v>44136</v>
      </c>
      <c r="I22" t="s">
        <v>140</v>
      </c>
      <c r="J22" t="s">
        <v>102</v>
      </c>
      <c r="K22" t="s">
        <v>103</v>
      </c>
      <c r="L22">
        <v>1790000088</v>
      </c>
      <c r="M22">
        <v>5</v>
      </c>
      <c r="N22">
        <v>5</v>
      </c>
      <c r="O22">
        <v>5</v>
      </c>
      <c r="P22">
        <v>5</v>
      </c>
      <c r="Q22">
        <v>5</v>
      </c>
      <c r="R22">
        <v>9</v>
      </c>
      <c r="S22">
        <v>9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9</v>
      </c>
      <c r="AL22">
        <v>9</v>
      </c>
      <c r="AM22">
        <v>9</v>
      </c>
      <c r="AN22">
        <v>9</v>
      </c>
      <c r="AO22">
        <v>9</v>
      </c>
      <c r="AP22">
        <v>9</v>
      </c>
      <c r="AR22">
        <v>0</v>
      </c>
      <c r="AS22">
        <v>0</v>
      </c>
      <c r="AT22">
        <v>0</v>
      </c>
      <c r="AU22">
        <v>0</v>
      </c>
      <c r="AV22">
        <v>5</v>
      </c>
      <c r="AW22">
        <v>0</v>
      </c>
      <c r="AX22">
        <v>0</v>
      </c>
      <c r="AY22">
        <v>0</v>
      </c>
      <c r="AZ22">
        <v>25</v>
      </c>
      <c r="BA22">
        <v>30</v>
      </c>
    </row>
    <row r="23" spans="1:86" x14ac:dyDescent="0.3">
      <c r="A23">
        <v>22</v>
      </c>
      <c r="B23" t="s">
        <v>149</v>
      </c>
      <c r="C23">
        <v>9912965</v>
      </c>
      <c r="D23" t="s">
        <v>150</v>
      </c>
      <c r="E23" t="s">
        <v>151</v>
      </c>
      <c r="F23" t="s">
        <v>152</v>
      </c>
      <c r="G23" t="s">
        <v>153</v>
      </c>
      <c r="H23" s="1"/>
      <c r="I23" t="s">
        <v>101</v>
      </c>
      <c r="J23" t="s">
        <v>102</v>
      </c>
      <c r="K23" t="s">
        <v>103</v>
      </c>
      <c r="L23">
        <v>1740000002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1</v>
      </c>
      <c r="T23">
        <v>1</v>
      </c>
      <c r="U23">
        <v>1</v>
      </c>
      <c r="V23">
        <v>1</v>
      </c>
      <c r="W23">
        <v>3</v>
      </c>
      <c r="X23">
        <v>3</v>
      </c>
      <c r="Y23">
        <v>9</v>
      </c>
      <c r="Z23">
        <v>9</v>
      </c>
      <c r="AA23">
        <v>9</v>
      </c>
      <c r="AB23">
        <v>9</v>
      </c>
      <c r="AC23">
        <v>9</v>
      </c>
      <c r="AD23">
        <v>9</v>
      </c>
      <c r="AE23">
        <v>9</v>
      </c>
      <c r="AF23">
        <v>9</v>
      </c>
      <c r="AG23">
        <v>9</v>
      </c>
      <c r="AH23">
        <v>9</v>
      </c>
      <c r="AI23">
        <v>9</v>
      </c>
      <c r="AJ23">
        <v>9</v>
      </c>
      <c r="AK23">
        <v>9</v>
      </c>
      <c r="AL23">
        <v>9</v>
      </c>
      <c r="AM23">
        <v>9</v>
      </c>
      <c r="AN23">
        <v>9</v>
      </c>
      <c r="AO23">
        <v>9</v>
      </c>
      <c r="AP23">
        <v>9</v>
      </c>
      <c r="AR23">
        <v>4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24</v>
      </c>
      <c r="BA23">
        <v>30</v>
      </c>
      <c r="BE23">
        <v>519000</v>
      </c>
      <c r="BF23" t="s">
        <v>154</v>
      </c>
      <c r="CH23" t="s">
        <v>155</v>
      </c>
    </row>
    <row r="24" spans="1:86" x14ac:dyDescent="0.3">
      <c r="A24">
        <v>23</v>
      </c>
      <c r="B24" t="s">
        <v>219</v>
      </c>
      <c r="C24">
        <v>11876153</v>
      </c>
      <c r="D24" t="s">
        <v>220</v>
      </c>
      <c r="E24" t="s">
        <v>221</v>
      </c>
      <c r="F24" t="s">
        <v>222</v>
      </c>
      <c r="G24" t="s">
        <v>223</v>
      </c>
      <c r="H24" s="1"/>
      <c r="I24" t="s">
        <v>101</v>
      </c>
      <c r="J24" t="s">
        <v>102</v>
      </c>
      <c r="K24" t="s">
        <v>103</v>
      </c>
      <c r="L24">
        <v>1790000090</v>
      </c>
      <c r="M24">
        <v>1</v>
      </c>
      <c r="N24">
        <v>1</v>
      </c>
      <c r="O24">
        <v>3</v>
      </c>
      <c r="P24">
        <v>3</v>
      </c>
      <c r="Q24">
        <v>3</v>
      </c>
      <c r="R24">
        <v>1</v>
      </c>
      <c r="S24">
        <v>3</v>
      </c>
      <c r="T24">
        <v>3</v>
      </c>
      <c r="U24">
        <v>1</v>
      </c>
      <c r="V24">
        <v>1</v>
      </c>
      <c r="W24">
        <v>1</v>
      </c>
      <c r="X24">
        <v>1</v>
      </c>
      <c r="Y24">
        <v>1</v>
      </c>
      <c r="Z24">
        <v>3</v>
      </c>
      <c r="AA24">
        <v>3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3</v>
      </c>
      <c r="AH24">
        <v>3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21</v>
      </c>
      <c r="AS24">
        <v>0</v>
      </c>
      <c r="AT24">
        <v>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  <c r="BW24">
        <v>110000</v>
      </c>
      <c r="CE24">
        <v>77281</v>
      </c>
    </row>
    <row r="25" spans="1:86" x14ac:dyDescent="0.3">
      <c r="A25">
        <v>24</v>
      </c>
      <c r="B25" t="s">
        <v>775</v>
      </c>
      <c r="C25">
        <v>20051179</v>
      </c>
      <c r="D25" t="s">
        <v>776</v>
      </c>
      <c r="E25" t="s">
        <v>157</v>
      </c>
      <c r="F25" t="s">
        <v>777</v>
      </c>
      <c r="G25" t="s">
        <v>778</v>
      </c>
      <c r="H25" s="1">
        <v>46113</v>
      </c>
      <c r="I25" t="s">
        <v>140</v>
      </c>
      <c r="J25" t="s">
        <v>102</v>
      </c>
      <c r="K25" t="s">
        <v>103</v>
      </c>
      <c r="L25">
        <v>1790000088</v>
      </c>
      <c r="M25">
        <v>1</v>
      </c>
      <c r="N25">
        <v>1</v>
      </c>
      <c r="O25">
        <v>3</v>
      </c>
      <c r="P25">
        <v>3</v>
      </c>
      <c r="Q25">
        <v>3</v>
      </c>
      <c r="R25">
        <v>1</v>
      </c>
      <c r="S25">
        <v>3</v>
      </c>
      <c r="T25">
        <v>3</v>
      </c>
      <c r="U25">
        <v>1</v>
      </c>
      <c r="V25">
        <v>1</v>
      </c>
      <c r="W25">
        <v>1</v>
      </c>
      <c r="X25">
        <v>1</v>
      </c>
      <c r="Y25">
        <v>1</v>
      </c>
      <c r="Z25">
        <v>3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3</v>
      </c>
      <c r="AH25">
        <v>3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R25">
        <v>21</v>
      </c>
      <c r="AS25">
        <v>0</v>
      </c>
      <c r="AT25">
        <v>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</row>
    <row r="26" spans="1:86" x14ac:dyDescent="0.3">
      <c r="A26">
        <v>25</v>
      </c>
      <c r="B26" t="s">
        <v>792</v>
      </c>
      <c r="C26">
        <v>20308051</v>
      </c>
      <c r="D26" t="s">
        <v>793</v>
      </c>
      <c r="E26" t="s">
        <v>230</v>
      </c>
      <c r="F26" t="s">
        <v>794</v>
      </c>
      <c r="G26" t="s">
        <v>778</v>
      </c>
      <c r="H26" s="1">
        <v>46113</v>
      </c>
      <c r="I26" t="s">
        <v>140</v>
      </c>
      <c r="J26" t="s">
        <v>102</v>
      </c>
      <c r="K26" t="s">
        <v>103</v>
      </c>
      <c r="L26">
        <v>1790000088</v>
      </c>
      <c r="M26">
        <v>1</v>
      </c>
      <c r="N26">
        <v>1</v>
      </c>
      <c r="O26">
        <v>3</v>
      </c>
      <c r="P26">
        <v>3</v>
      </c>
      <c r="Q26">
        <v>3</v>
      </c>
      <c r="R26">
        <v>1</v>
      </c>
      <c r="S26">
        <v>3</v>
      </c>
      <c r="T26">
        <v>3</v>
      </c>
      <c r="U26">
        <v>1</v>
      </c>
      <c r="V26">
        <v>1</v>
      </c>
      <c r="W26">
        <v>1</v>
      </c>
      <c r="X26">
        <v>1</v>
      </c>
      <c r="Y26">
        <v>1</v>
      </c>
      <c r="Z26">
        <v>3</v>
      </c>
      <c r="AA26">
        <v>3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3</v>
      </c>
      <c r="AH26">
        <v>3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R26">
        <v>21</v>
      </c>
      <c r="AS26">
        <v>0</v>
      </c>
      <c r="AT26">
        <v>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</row>
    <row r="27" spans="1:86" x14ac:dyDescent="0.3">
      <c r="A27">
        <v>26</v>
      </c>
      <c r="B27" t="s">
        <v>595</v>
      </c>
      <c r="C27">
        <v>17659588</v>
      </c>
      <c r="D27" t="s">
        <v>596</v>
      </c>
      <c r="E27" t="s">
        <v>597</v>
      </c>
      <c r="F27" t="s">
        <v>598</v>
      </c>
      <c r="G27" t="s">
        <v>599</v>
      </c>
      <c r="H27" s="1"/>
      <c r="I27" t="s">
        <v>101</v>
      </c>
      <c r="J27" t="s">
        <v>102</v>
      </c>
      <c r="K27" t="s">
        <v>103</v>
      </c>
      <c r="L27">
        <v>1740000002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2000000</v>
      </c>
      <c r="CH27" t="s">
        <v>600</v>
      </c>
    </row>
    <row r="28" spans="1:86" x14ac:dyDescent="0.3">
      <c r="A28">
        <v>27</v>
      </c>
      <c r="B28" t="s">
        <v>357</v>
      </c>
      <c r="C28">
        <v>14016056</v>
      </c>
      <c r="D28" t="s">
        <v>358</v>
      </c>
      <c r="E28" t="s">
        <v>359</v>
      </c>
      <c r="F28" t="s">
        <v>360</v>
      </c>
      <c r="G28" t="s">
        <v>361</v>
      </c>
      <c r="H28" s="1">
        <v>46104</v>
      </c>
      <c r="I28" t="s">
        <v>101</v>
      </c>
      <c r="J28" t="s">
        <v>102</v>
      </c>
      <c r="K28" t="s">
        <v>103</v>
      </c>
      <c r="L28">
        <v>1720000001</v>
      </c>
      <c r="M28">
        <v>1</v>
      </c>
      <c r="N28">
        <v>1</v>
      </c>
      <c r="O28">
        <v>3</v>
      </c>
      <c r="P28">
        <v>3</v>
      </c>
      <c r="Q28">
        <v>3</v>
      </c>
      <c r="R28">
        <v>1</v>
      </c>
      <c r="S28">
        <v>3</v>
      </c>
      <c r="T28">
        <v>3</v>
      </c>
      <c r="U28">
        <v>1</v>
      </c>
      <c r="V28">
        <v>1</v>
      </c>
      <c r="W28">
        <v>1</v>
      </c>
      <c r="X28">
        <v>1</v>
      </c>
      <c r="Y28">
        <v>1</v>
      </c>
      <c r="Z28">
        <v>3</v>
      </c>
      <c r="AA28">
        <v>3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3</v>
      </c>
      <c r="AH28">
        <v>3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R28">
        <v>21</v>
      </c>
      <c r="AS28">
        <v>0</v>
      </c>
      <c r="AT28">
        <v>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</row>
    <row r="29" spans="1:86" x14ac:dyDescent="0.3">
      <c r="A29">
        <v>28</v>
      </c>
      <c r="B29" t="s">
        <v>280</v>
      </c>
      <c r="C29">
        <v>13012039</v>
      </c>
      <c r="D29" t="s">
        <v>281</v>
      </c>
      <c r="E29" t="s">
        <v>282</v>
      </c>
      <c r="F29" t="s">
        <v>283</v>
      </c>
      <c r="G29" t="s">
        <v>284</v>
      </c>
      <c r="H29" s="1">
        <v>46118</v>
      </c>
      <c r="I29" t="s">
        <v>101</v>
      </c>
      <c r="J29" t="s">
        <v>102</v>
      </c>
      <c r="K29" t="s">
        <v>103</v>
      </c>
      <c r="L29">
        <v>1790000088</v>
      </c>
      <c r="R29">
        <v>1</v>
      </c>
      <c r="S29">
        <v>1</v>
      </c>
      <c r="T29">
        <v>1</v>
      </c>
      <c r="U29">
        <v>1</v>
      </c>
      <c r="V29">
        <v>1</v>
      </c>
      <c r="W29">
        <v>3</v>
      </c>
      <c r="X29">
        <v>3</v>
      </c>
      <c r="Y29">
        <v>1</v>
      </c>
      <c r="Z29">
        <v>1</v>
      </c>
      <c r="AA29">
        <v>1</v>
      </c>
      <c r="AB29">
        <v>1</v>
      </c>
      <c r="AC29">
        <v>1</v>
      </c>
      <c r="AD29">
        <v>3</v>
      </c>
      <c r="AE29">
        <v>3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3</v>
      </c>
      <c r="AL29">
        <v>3</v>
      </c>
      <c r="AM29">
        <v>1</v>
      </c>
      <c r="AN29">
        <v>1</v>
      </c>
      <c r="AO29">
        <v>1</v>
      </c>
      <c r="AP29">
        <v>1</v>
      </c>
      <c r="AR29">
        <v>19</v>
      </c>
      <c r="AS29">
        <v>0</v>
      </c>
      <c r="AT29">
        <v>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2ACE-8E28-49EC-8879-66B26F79D5AB}">
  <dimension ref="A1:CL47"/>
  <sheetViews>
    <sheetView workbookViewId="0"/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4.88671875" bestFit="1" customWidth="1"/>
    <col min="7" max="7" width="39.664062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46.441406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1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62.88671875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4.109375" bestFit="1" customWidth="1"/>
    <col min="87" max="87" width="35.5546875" bestFit="1" customWidth="1"/>
    <col min="88" max="88" width="49.33203125" bestFit="1" customWidth="1"/>
    <col min="89" max="89" width="32.6640625" bestFit="1" customWidth="1"/>
    <col min="90" max="90" width="29.109375" bestFit="1" customWidth="1"/>
  </cols>
  <sheetData>
    <row r="1" spans="1:90" x14ac:dyDescent="0.3">
      <c r="A1" t="s">
        <v>951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952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">
      <c r="A2">
        <v>1</v>
      </c>
      <c r="B2" t="s">
        <v>104</v>
      </c>
      <c r="C2">
        <v>9187205</v>
      </c>
      <c r="D2" t="s">
        <v>105</v>
      </c>
      <c r="E2" t="s">
        <v>106</v>
      </c>
      <c r="F2" t="s">
        <v>107</v>
      </c>
      <c r="G2" t="s">
        <v>108</v>
      </c>
      <c r="H2" s="1">
        <v>45676</v>
      </c>
      <c r="I2" t="s">
        <v>101</v>
      </c>
      <c r="J2" t="s">
        <v>102</v>
      </c>
      <c r="K2" t="s">
        <v>109</v>
      </c>
      <c r="L2">
        <v>1790000088</v>
      </c>
      <c r="M2">
        <v>1</v>
      </c>
      <c r="N2">
        <v>1</v>
      </c>
      <c r="O2">
        <v>3</v>
      </c>
      <c r="P2">
        <v>3</v>
      </c>
      <c r="Q2">
        <v>3</v>
      </c>
      <c r="R2">
        <v>1</v>
      </c>
      <c r="S2">
        <v>1</v>
      </c>
      <c r="T2">
        <v>1</v>
      </c>
      <c r="U2">
        <v>1</v>
      </c>
      <c r="V2">
        <v>3</v>
      </c>
      <c r="W2">
        <v>3</v>
      </c>
      <c r="X2">
        <v>3</v>
      </c>
      <c r="Y2">
        <v>1</v>
      </c>
      <c r="Z2">
        <v>1</v>
      </c>
      <c r="AA2">
        <v>1</v>
      </c>
      <c r="AB2">
        <v>1</v>
      </c>
      <c r="AC2">
        <v>3</v>
      </c>
      <c r="AD2">
        <v>3</v>
      </c>
      <c r="AE2">
        <v>3</v>
      </c>
      <c r="AF2">
        <v>1</v>
      </c>
      <c r="AG2">
        <v>1</v>
      </c>
      <c r="AH2">
        <v>1</v>
      </c>
      <c r="AI2">
        <v>1</v>
      </c>
      <c r="AJ2">
        <v>3</v>
      </c>
      <c r="AK2">
        <v>3</v>
      </c>
      <c r="AL2">
        <v>3</v>
      </c>
      <c r="AM2">
        <v>1</v>
      </c>
      <c r="AN2">
        <v>1</v>
      </c>
      <c r="AO2">
        <v>1</v>
      </c>
      <c r="AP2">
        <v>1</v>
      </c>
      <c r="AR2">
        <v>18</v>
      </c>
      <c r="AS2">
        <v>0</v>
      </c>
      <c r="AT2">
        <v>12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E2">
        <v>328000</v>
      </c>
      <c r="BF2" t="s">
        <v>110</v>
      </c>
      <c r="BM2">
        <v>0</v>
      </c>
    </row>
    <row r="3" spans="1:90" x14ac:dyDescent="0.3">
      <c r="A3">
        <v>2</v>
      </c>
      <c r="B3" t="s">
        <v>122</v>
      </c>
      <c r="C3">
        <v>9460969</v>
      </c>
      <c r="D3" t="s">
        <v>123</v>
      </c>
      <c r="E3" t="s">
        <v>124</v>
      </c>
      <c r="F3" t="s">
        <v>125</v>
      </c>
      <c r="G3" t="s">
        <v>126</v>
      </c>
      <c r="H3" s="1">
        <v>45712</v>
      </c>
      <c r="I3" t="s">
        <v>101</v>
      </c>
      <c r="J3" t="s">
        <v>102</v>
      </c>
      <c r="K3" t="s">
        <v>127</v>
      </c>
      <c r="L3">
        <v>1790000088</v>
      </c>
      <c r="M3">
        <v>1</v>
      </c>
      <c r="N3">
        <v>3</v>
      </c>
      <c r="O3">
        <v>3</v>
      </c>
      <c r="P3">
        <v>3</v>
      </c>
      <c r="AR3">
        <v>1</v>
      </c>
      <c r="AS3">
        <v>0</v>
      </c>
      <c r="AT3">
        <v>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</v>
      </c>
      <c r="BC3">
        <v>193599</v>
      </c>
      <c r="BD3" t="s">
        <v>128</v>
      </c>
      <c r="BE3">
        <v>33333.333333333336</v>
      </c>
      <c r="BF3" t="s">
        <v>129</v>
      </c>
      <c r="BM3">
        <v>0</v>
      </c>
      <c r="BP3">
        <v>75000</v>
      </c>
    </row>
    <row r="4" spans="1:90" x14ac:dyDescent="0.3">
      <c r="A4">
        <v>3</v>
      </c>
      <c r="B4" t="s">
        <v>164</v>
      </c>
      <c r="C4">
        <v>10420797</v>
      </c>
      <c r="D4" t="s">
        <v>165</v>
      </c>
      <c r="E4" t="s">
        <v>166</v>
      </c>
      <c r="F4" t="s">
        <v>167</v>
      </c>
      <c r="G4" t="s">
        <v>168</v>
      </c>
      <c r="H4" s="1">
        <v>45704</v>
      </c>
      <c r="I4" t="s">
        <v>101</v>
      </c>
      <c r="J4" t="s">
        <v>102</v>
      </c>
      <c r="K4" t="s">
        <v>109</v>
      </c>
      <c r="L4">
        <v>1790000088</v>
      </c>
      <c r="M4">
        <v>1</v>
      </c>
      <c r="N4">
        <v>1</v>
      </c>
      <c r="O4">
        <v>3</v>
      </c>
      <c r="P4">
        <v>3</v>
      </c>
      <c r="Q4">
        <v>3</v>
      </c>
      <c r="R4">
        <v>1</v>
      </c>
      <c r="S4">
        <v>1</v>
      </c>
      <c r="T4">
        <v>1</v>
      </c>
      <c r="U4">
        <v>1</v>
      </c>
      <c r="V4">
        <v>3</v>
      </c>
      <c r="W4">
        <v>3</v>
      </c>
      <c r="X4">
        <v>3</v>
      </c>
      <c r="Y4">
        <v>1</v>
      </c>
      <c r="Z4">
        <v>1</v>
      </c>
      <c r="AA4">
        <v>1</v>
      </c>
      <c r="AB4">
        <v>1</v>
      </c>
      <c r="AC4">
        <v>3</v>
      </c>
      <c r="AD4">
        <v>3</v>
      </c>
      <c r="AE4">
        <v>3</v>
      </c>
      <c r="AF4">
        <v>1</v>
      </c>
      <c r="AG4">
        <v>1</v>
      </c>
      <c r="AH4">
        <v>1</v>
      </c>
      <c r="AI4">
        <v>1</v>
      </c>
      <c r="AJ4">
        <v>3</v>
      </c>
      <c r="AK4">
        <v>3</v>
      </c>
      <c r="AL4">
        <v>3</v>
      </c>
      <c r="AM4">
        <v>1</v>
      </c>
      <c r="AN4">
        <v>1</v>
      </c>
      <c r="AO4">
        <v>1</v>
      </c>
      <c r="AP4">
        <v>1</v>
      </c>
      <c r="AR4">
        <v>18</v>
      </c>
      <c r="AS4">
        <v>0</v>
      </c>
      <c r="AT4">
        <v>12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BC4">
        <v>230799</v>
      </c>
      <c r="BD4" t="s">
        <v>953</v>
      </c>
      <c r="BM4">
        <v>0</v>
      </c>
      <c r="CA4">
        <v>72000</v>
      </c>
      <c r="CB4" t="s">
        <v>169</v>
      </c>
    </row>
    <row r="5" spans="1:90" x14ac:dyDescent="0.3">
      <c r="A5">
        <v>4</v>
      </c>
      <c r="B5" t="s">
        <v>170</v>
      </c>
      <c r="C5">
        <v>10603186</v>
      </c>
      <c r="D5" t="s">
        <v>171</v>
      </c>
      <c r="E5" t="s">
        <v>172</v>
      </c>
      <c r="F5" t="s">
        <v>173</v>
      </c>
      <c r="G5" t="s">
        <v>174</v>
      </c>
      <c r="H5" s="1">
        <v>45748</v>
      </c>
      <c r="I5" t="s">
        <v>101</v>
      </c>
      <c r="J5" t="s">
        <v>102</v>
      </c>
      <c r="K5" t="s">
        <v>127</v>
      </c>
      <c r="L5">
        <v>1790000088</v>
      </c>
      <c r="M5">
        <v>1</v>
      </c>
      <c r="N5">
        <v>1</v>
      </c>
      <c r="O5">
        <v>3</v>
      </c>
      <c r="P5">
        <v>3</v>
      </c>
      <c r="Q5">
        <v>3</v>
      </c>
      <c r="R5">
        <v>1</v>
      </c>
      <c r="S5">
        <v>1</v>
      </c>
      <c r="T5">
        <v>1</v>
      </c>
      <c r="U5">
        <v>1</v>
      </c>
      <c r="V5">
        <v>3</v>
      </c>
      <c r="W5">
        <v>3</v>
      </c>
      <c r="X5">
        <v>3</v>
      </c>
      <c r="Y5">
        <v>1</v>
      </c>
      <c r="Z5">
        <v>1</v>
      </c>
      <c r="AA5">
        <v>1</v>
      </c>
      <c r="AB5">
        <v>1</v>
      </c>
      <c r="AC5">
        <v>3</v>
      </c>
      <c r="AD5">
        <v>3</v>
      </c>
      <c r="AE5">
        <v>3</v>
      </c>
      <c r="AF5">
        <v>1</v>
      </c>
      <c r="AG5">
        <v>1</v>
      </c>
      <c r="AH5">
        <v>1</v>
      </c>
      <c r="AI5">
        <v>1</v>
      </c>
      <c r="AJ5">
        <v>3</v>
      </c>
      <c r="AK5">
        <v>3</v>
      </c>
      <c r="AL5">
        <v>3</v>
      </c>
      <c r="AM5">
        <v>1</v>
      </c>
      <c r="AN5">
        <v>1</v>
      </c>
      <c r="AO5">
        <v>1</v>
      </c>
      <c r="AP5">
        <v>1</v>
      </c>
      <c r="AR5">
        <v>18</v>
      </c>
      <c r="AS5">
        <v>0</v>
      </c>
      <c r="AT5">
        <v>12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  <c r="BC5">
        <v>614997</v>
      </c>
      <c r="BD5" t="s">
        <v>954</v>
      </c>
      <c r="BE5">
        <v>500000</v>
      </c>
      <c r="BF5" t="s">
        <v>175</v>
      </c>
      <c r="BM5">
        <v>0</v>
      </c>
    </row>
    <row r="6" spans="1:90" x14ac:dyDescent="0.3">
      <c r="A6">
        <v>5</v>
      </c>
      <c r="B6" t="s">
        <v>185</v>
      </c>
      <c r="C6">
        <v>10957493</v>
      </c>
      <c r="D6" t="s">
        <v>186</v>
      </c>
      <c r="E6" t="s">
        <v>187</v>
      </c>
      <c r="F6" t="s">
        <v>188</v>
      </c>
      <c r="G6" t="s">
        <v>189</v>
      </c>
      <c r="H6" s="1">
        <v>45809</v>
      </c>
      <c r="I6" t="s">
        <v>140</v>
      </c>
      <c r="J6" t="s">
        <v>102</v>
      </c>
      <c r="K6" t="s">
        <v>190</v>
      </c>
      <c r="L6">
        <v>1790000088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1</v>
      </c>
      <c r="T6">
        <v>1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R6">
        <v>2</v>
      </c>
      <c r="AS6">
        <v>13</v>
      </c>
      <c r="AT6">
        <v>15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C6">
        <v>258335</v>
      </c>
      <c r="BD6" t="s">
        <v>955</v>
      </c>
      <c r="BM6">
        <v>0</v>
      </c>
      <c r="BP6">
        <v>150000</v>
      </c>
    </row>
    <row r="7" spans="1:90" x14ac:dyDescent="0.3">
      <c r="A7">
        <v>6</v>
      </c>
      <c r="B7" t="s">
        <v>191</v>
      </c>
      <c r="C7">
        <v>11265430</v>
      </c>
      <c r="D7" t="s">
        <v>192</v>
      </c>
      <c r="E7" t="s">
        <v>193</v>
      </c>
      <c r="F7" t="s">
        <v>194</v>
      </c>
      <c r="G7" t="s">
        <v>195</v>
      </c>
      <c r="H7" s="1">
        <v>45748</v>
      </c>
      <c r="I7" t="s">
        <v>101</v>
      </c>
      <c r="J7" t="s">
        <v>102</v>
      </c>
      <c r="K7" t="s">
        <v>196</v>
      </c>
      <c r="L7">
        <v>1790000088</v>
      </c>
      <c r="M7">
        <v>1</v>
      </c>
      <c r="N7">
        <v>1</v>
      </c>
      <c r="O7">
        <v>3</v>
      </c>
      <c r="P7">
        <v>3</v>
      </c>
      <c r="Q7">
        <v>3</v>
      </c>
      <c r="R7">
        <v>1</v>
      </c>
      <c r="S7">
        <v>1</v>
      </c>
      <c r="T7">
        <v>1</v>
      </c>
      <c r="U7">
        <v>1</v>
      </c>
      <c r="V7">
        <v>3</v>
      </c>
      <c r="W7">
        <v>3</v>
      </c>
      <c r="X7">
        <v>3</v>
      </c>
      <c r="Y7">
        <v>1</v>
      </c>
      <c r="Z7">
        <v>1</v>
      </c>
      <c r="AA7">
        <v>1</v>
      </c>
      <c r="AB7">
        <v>1</v>
      </c>
      <c r="AC7">
        <v>3</v>
      </c>
      <c r="AD7">
        <v>3</v>
      </c>
      <c r="AE7">
        <v>3</v>
      </c>
      <c r="AF7">
        <v>1</v>
      </c>
      <c r="AG7">
        <v>1</v>
      </c>
      <c r="AH7">
        <v>1</v>
      </c>
      <c r="AI7">
        <v>1</v>
      </c>
      <c r="AJ7">
        <v>3</v>
      </c>
      <c r="AK7">
        <v>3</v>
      </c>
      <c r="AL7">
        <v>3</v>
      </c>
      <c r="AM7">
        <v>1</v>
      </c>
      <c r="AN7">
        <v>1</v>
      </c>
      <c r="AO7">
        <v>1</v>
      </c>
      <c r="AP7">
        <v>1</v>
      </c>
      <c r="AR7">
        <v>18</v>
      </c>
      <c r="AS7">
        <v>0</v>
      </c>
      <c r="AT7">
        <v>12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BE7">
        <v>837000</v>
      </c>
      <c r="BF7" t="s">
        <v>197</v>
      </c>
      <c r="BM7">
        <v>0</v>
      </c>
    </row>
    <row r="8" spans="1:90" x14ac:dyDescent="0.3">
      <c r="A8">
        <v>7</v>
      </c>
      <c r="B8" t="s">
        <v>209</v>
      </c>
      <c r="C8">
        <v>11734191</v>
      </c>
      <c r="D8" t="s">
        <v>210</v>
      </c>
      <c r="E8" t="s">
        <v>211</v>
      </c>
      <c r="F8" t="s">
        <v>212</v>
      </c>
      <c r="G8" t="s">
        <v>213</v>
      </c>
      <c r="H8" s="1">
        <v>45756</v>
      </c>
      <c r="I8" t="s">
        <v>140</v>
      </c>
      <c r="J8" t="s">
        <v>102</v>
      </c>
      <c r="K8" t="s">
        <v>127</v>
      </c>
      <c r="L8">
        <v>1790000088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R8">
        <v>21</v>
      </c>
      <c r="AS8">
        <v>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BM8">
        <v>0</v>
      </c>
    </row>
    <row r="9" spans="1:90" x14ac:dyDescent="0.3">
      <c r="A9">
        <v>8</v>
      </c>
      <c r="B9" t="s">
        <v>229</v>
      </c>
      <c r="C9">
        <v>12038137</v>
      </c>
      <c r="D9" t="s">
        <v>230</v>
      </c>
      <c r="E9" t="s">
        <v>231</v>
      </c>
      <c r="F9" t="s">
        <v>232</v>
      </c>
      <c r="G9" t="s">
        <v>233</v>
      </c>
      <c r="H9" s="1">
        <v>45924</v>
      </c>
      <c r="I9" t="s">
        <v>140</v>
      </c>
      <c r="J9" t="s">
        <v>102</v>
      </c>
      <c r="K9" t="s">
        <v>190</v>
      </c>
      <c r="L9">
        <v>1790000088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AR9">
        <v>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11</v>
      </c>
      <c r="BM9">
        <v>0</v>
      </c>
    </row>
    <row r="10" spans="1:90" x14ac:dyDescent="0.3">
      <c r="A10">
        <v>9</v>
      </c>
      <c r="B10" t="s">
        <v>261</v>
      </c>
      <c r="C10">
        <v>12612919</v>
      </c>
      <c r="D10" t="s">
        <v>262</v>
      </c>
      <c r="E10" t="s">
        <v>263</v>
      </c>
      <c r="F10" t="s">
        <v>264</v>
      </c>
      <c r="G10" t="s">
        <v>160</v>
      </c>
      <c r="H10" s="1">
        <v>45858</v>
      </c>
      <c r="I10" t="s">
        <v>140</v>
      </c>
      <c r="J10" t="s">
        <v>102</v>
      </c>
      <c r="K10" t="s">
        <v>127</v>
      </c>
      <c r="L10">
        <v>1790000088</v>
      </c>
      <c r="M10">
        <v>2</v>
      </c>
      <c r="N10">
        <v>2</v>
      </c>
      <c r="O10">
        <v>8</v>
      </c>
      <c r="P10">
        <v>8</v>
      </c>
      <c r="Q10">
        <v>2</v>
      </c>
      <c r="R10">
        <v>2</v>
      </c>
      <c r="S10">
        <v>2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R10">
        <v>0</v>
      </c>
      <c r="AS10">
        <v>14</v>
      </c>
      <c r="AT10">
        <v>14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30</v>
      </c>
      <c r="BC10">
        <v>223803</v>
      </c>
      <c r="BD10" t="s">
        <v>954</v>
      </c>
      <c r="BM10">
        <v>2</v>
      </c>
      <c r="BN10">
        <v>149200</v>
      </c>
      <c r="BP10">
        <v>150000</v>
      </c>
    </row>
    <row r="11" spans="1:90" x14ac:dyDescent="0.3">
      <c r="A11">
        <v>10</v>
      </c>
      <c r="B11" t="s">
        <v>285</v>
      </c>
      <c r="C11">
        <v>13076470</v>
      </c>
      <c r="D11" t="s">
        <v>286</v>
      </c>
      <c r="E11" t="s">
        <v>287</v>
      </c>
      <c r="F11" t="s">
        <v>288</v>
      </c>
      <c r="G11" t="s">
        <v>289</v>
      </c>
      <c r="H11" s="1">
        <v>45805</v>
      </c>
      <c r="I11" t="s">
        <v>101</v>
      </c>
      <c r="J11" t="s">
        <v>102</v>
      </c>
      <c r="K11" t="s">
        <v>190</v>
      </c>
      <c r="L11">
        <v>1790000088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2</v>
      </c>
      <c r="U11">
        <v>2</v>
      </c>
      <c r="V11">
        <v>2</v>
      </c>
      <c r="W11">
        <v>2</v>
      </c>
      <c r="X11">
        <v>2</v>
      </c>
      <c r="Y11">
        <v>1</v>
      </c>
      <c r="Z11">
        <v>1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R11">
        <v>2</v>
      </c>
      <c r="AS11">
        <v>12</v>
      </c>
      <c r="AT11">
        <v>16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C11">
        <v>598335</v>
      </c>
      <c r="BD11" t="s">
        <v>955</v>
      </c>
      <c r="BE11">
        <v>375000</v>
      </c>
      <c r="BF11" t="s">
        <v>290</v>
      </c>
      <c r="BM11">
        <v>0</v>
      </c>
    </row>
    <row r="12" spans="1:90" x14ac:dyDescent="0.3">
      <c r="A12">
        <v>11</v>
      </c>
      <c r="B12" t="s">
        <v>291</v>
      </c>
      <c r="C12">
        <v>13172993</v>
      </c>
      <c r="D12" t="s">
        <v>292</v>
      </c>
      <c r="E12" t="s">
        <v>230</v>
      </c>
      <c r="F12" t="s">
        <v>293</v>
      </c>
      <c r="G12" t="s">
        <v>294</v>
      </c>
      <c r="H12" s="1">
        <v>45839</v>
      </c>
      <c r="I12" t="s">
        <v>101</v>
      </c>
      <c r="J12" t="s">
        <v>253</v>
      </c>
      <c r="K12" t="s">
        <v>109</v>
      </c>
      <c r="L12">
        <v>1790000088</v>
      </c>
      <c r="M12">
        <v>1</v>
      </c>
      <c r="N12">
        <v>3</v>
      </c>
      <c r="O12">
        <v>3</v>
      </c>
      <c r="P12">
        <v>3</v>
      </c>
      <c r="AR12">
        <v>1</v>
      </c>
      <c r="AS12">
        <v>0</v>
      </c>
      <c r="AT12">
        <v>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4</v>
      </c>
      <c r="BM12">
        <v>0</v>
      </c>
    </row>
    <row r="13" spans="1:90" x14ac:dyDescent="0.3">
      <c r="A13">
        <v>12</v>
      </c>
      <c r="B13" t="s">
        <v>295</v>
      </c>
      <c r="C13">
        <v>13174740</v>
      </c>
      <c r="D13" t="s">
        <v>296</v>
      </c>
      <c r="E13" t="s">
        <v>297</v>
      </c>
      <c r="F13" t="s">
        <v>298</v>
      </c>
      <c r="G13" t="s">
        <v>233</v>
      </c>
      <c r="H13" s="1">
        <v>45846</v>
      </c>
      <c r="I13" t="s">
        <v>140</v>
      </c>
      <c r="J13" t="s">
        <v>102</v>
      </c>
      <c r="K13" t="s">
        <v>190</v>
      </c>
      <c r="L13">
        <v>1790000088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R13">
        <v>0</v>
      </c>
      <c r="AS13">
        <v>14</v>
      </c>
      <c r="AT13">
        <v>16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  <c r="BC13">
        <v>141665</v>
      </c>
      <c r="BD13" t="s">
        <v>955</v>
      </c>
      <c r="BM13">
        <v>0</v>
      </c>
      <c r="BP13">
        <v>150000</v>
      </c>
    </row>
    <row r="14" spans="1:90" x14ac:dyDescent="0.3">
      <c r="A14">
        <v>13</v>
      </c>
      <c r="B14" t="s">
        <v>325</v>
      </c>
      <c r="C14">
        <v>13531208</v>
      </c>
      <c r="D14" t="s">
        <v>326</v>
      </c>
      <c r="E14" t="s">
        <v>327</v>
      </c>
      <c r="F14" t="s">
        <v>324</v>
      </c>
      <c r="G14" t="s">
        <v>328</v>
      </c>
      <c r="H14" s="1">
        <v>45689</v>
      </c>
      <c r="I14" t="s">
        <v>101</v>
      </c>
      <c r="J14" t="s">
        <v>102</v>
      </c>
      <c r="K14" t="s">
        <v>109</v>
      </c>
      <c r="L14">
        <v>1790000088</v>
      </c>
      <c r="M14">
        <v>1</v>
      </c>
      <c r="N14">
        <v>1</v>
      </c>
      <c r="O14">
        <v>3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3</v>
      </c>
      <c r="W14">
        <v>3</v>
      </c>
      <c r="X14">
        <v>3</v>
      </c>
      <c r="Y14">
        <v>1</v>
      </c>
      <c r="Z14">
        <v>1</v>
      </c>
      <c r="AA14">
        <v>1</v>
      </c>
      <c r="AB14">
        <v>1</v>
      </c>
      <c r="AC14">
        <v>3</v>
      </c>
      <c r="AD14">
        <v>3</v>
      </c>
      <c r="AE14">
        <v>3</v>
      </c>
      <c r="AF14">
        <v>1</v>
      </c>
      <c r="AG14">
        <v>1</v>
      </c>
      <c r="AH14">
        <v>1</v>
      </c>
      <c r="AI14">
        <v>1</v>
      </c>
      <c r="AJ14">
        <v>3</v>
      </c>
      <c r="AK14">
        <v>3</v>
      </c>
      <c r="AL14">
        <v>3</v>
      </c>
      <c r="AM14">
        <v>1</v>
      </c>
      <c r="AN14">
        <v>1</v>
      </c>
      <c r="AO14">
        <v>1</v>
      </c>
      <c r="AP14">
        <v>1</v>
      </c>
      <c r="AR14">
        <v>18</v>
      </c>
      <c r="AS14">
        <v>0</v>
      </c>
      <c r="AT14">
        <v>12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  <c r="BE14">
        <v>1634000</v>
      </c>
      <c r="BF14" t="s">
        <v>329</v>
      </c>
      <c r="BM14">
        <v>0</v>
      </c>
      <c r="CE14">
        <v>77281</v>
      </c>
    </row>
    <row r="15" spans="1:90" x14ac:dyDescent="0.3">
      <c r="A15">
        <v>14</v>
      </c>
      <c r="B15" t="s">
        <v>343</v>
      </c>
      <c r="C15">
        <v>13702938</v>
      </c>
      <c r="D15" t="s">
        <v>319</v>
      </c>
      <c r="E15" t="s">
        <v>162</v>
      </c>
      <c r="F15" t="s">
        <v>344</v>
      </c>
      <c r="G15" t="s">
        <v>271</v>
      </c>
      <c r="H15" s="1">
        <v>45702</v>
      </c>
      <c r="I15" t="s">
        <v>101</v>
      </c>
      <c r="J15" t="s">
        <v>102</v>
      </c>
      <c r="K15" t="s">
        <v>127</v>
      </c>
      <c r="L15">
        <v>1790000088</v>
      </c>
      <c r="M15">
        <v>2</v>
      </c>
      <c r="N15">
        <v>2</v>
      </c>
      <c r="O15">
        <v>8</v>
      </c>
      <c r="P15">
        <v>8</v>
      </c>
      <c r="Q15">
        <v>2</v>
      </c>
      <c r="R15">
        <v>2</v>
      </c>
      <c r="S15">
        <v>2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R15">
        <v>0</v>
      </c>
      <c r="AS15">
        <v>14</v>
      </c>
      <c r="AT15">
        <v>14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0</v>
      </c>
      <c r="BA15">
        <v>30</v>
      </c>
      <c r="BC15">
        <v>732303</v>
      </c>
      <c r="BD15" t="s">
        <v>954</v>
      </c>
      <c r="BM15">
        <v>2</v>
      </c>
      <c r="BN15">
        <v>488018</v>
      </c>
      <c r="BP15">
        <v>150000</v>
      </c>
    </row>
    <row r="16" spans="1:90" x14ac:dyDescent="0.3">
      <c r="A16">
        <v>15</v>
      </c>
      <c r="B16" t="s">
        <v>387</v>
      </c>
      <c r="C16">
        <v>15018611</v>
      </c>
      <c r="D16" t="s">
        <v>158</v>
      </c>
      <c r="E16" t="s">
        <v>388</v>
      </c>
      <c r="F16" t="s">
        <v>386</v>
      </c>
      <c r="G16" t="s">
        <v>389</v>
      </c>
      <c r="H16" s="1">
        <v>45689</v>
      </c>
      <c r="I16" t="s">
        <v>101</v>
      </c>
      <c r="J16" t="s">
        <v>102</v>
      </c>
      <c r="K16" t="s">
        <v>109</v>
      </c>
      <c r="L16">
        <v>1790000088</v>
      </c>
      <c r="M16">
        <v>1</v>
      </c>
      <c r="N16">
        <v>1</v>
      </c>
      <c r="O16">
        <v>3</v>
      </c>
      <c r="P16">
        <v>3</v>
      </c>
      <c r="Q16">
        <v>3</v>
      </c>
      <c r="R16">
        <v>1</v>
      </c>
      <c r="S16">
        <v>1</v>
      </c>
      <c r="T16">
        <v>1</v>
      </c>
      <c r="U16">
        <v>1</v>
      </c>
      <c r="V16">
        <v>3</v>
      </c>
      <c r="W16">
        <v>3</v>
      </c>
      <c r="X16">
        <v>3</v>
      </c>
      <c r="Y16">
        <v>1</v>
      </c>
      <c r="Z16">
        <v>1</v>
      </c>
      <c r="AA16">
        <v>1</v>
      </c>
      <c r="AB16">
        <v>1</v>
      </c>
      <c r="AC16">
        <v>3</v>
      </c>
      <c r="AD16">
        <v>3</v>
      </c>
      <c r="AE16">
        <v>3</v>
      </c>
      <c r="AF16">
        <v>1</v>
      </c>
      <c r="AG16">
        <v>1</v>
      </c>
      <c r="AH16">
        <v>1</v>
      </c>
      <c r="AI16">
        <v>1</v>
      </c>
      <c r="AJ16">
        <v>3</v>
      </c>
      <c r="AK16">
        <v>3</v>
      </c>
      <c r="AL16">
        <v>3</v>
      </c>
      <c r="AM16">
        <v>1</v>
      </c>
      <c r="AN16">
        <v>1</v>
      </c>
      <c r="AO16">
        <v>1</v>
      </c>
      <c r="AP16">
        <v>1</v>
      </c>
      <c r="AR16">
        <v>18</v>
      </c>
      <c r="AS16">
        <v>0</v>
      </c>
      <c r="AT16">
        <v>12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BB16">
        <v>1508437</v>
      </c>
      <c r="BM16">
        <v>0</v>
      </c>
      <c r="CA16">
        <v>180000</v>
      </c>
      <c r="CB16" t="s">
        <v>390</v>
      </c>
    </row>
    <row r="17" spans="1:83" x14ac:dyDescent="0.3">
      <c r="A17">
        <v>16</v>
      </c>
      <c r="B17" t="s">
        <v>395</v>
      </c>
      <c r="C17">
        <v>15036703</v>
      </c>
      <c r="D17" t="s">
        <v>396</v>
      </c>
      <c r="E17" t="s">
        <v>296</v>
      </c>
      <c r="F17" t="s">
        <v>397</v>
      </c>
      <c r="G17" t="s">
        <v>289</v>
      </c>
      <c r="H17" s="1">
        <v>45704</v>
      </c>
      <c r="I17" t="s">
        <v>101</v>
      </c>
      <c r="J17" t="s">
        <v>102</v>
      </c>
      <c r="K17" t="s">
        <v>127</v>
      </c>
      <c r="L17">
        <v>1790000088</v>
      </c>
      <c r="M17">
        <v>2</v>
      </c>
      <c r="N17">
        <v>2</v>
      </c>
      <c r="O17">
        <v>8</v>
      </c>
      <c r="P17">
        <v>8</v>
      </c>
      <c r="Q17">
        <v>2</v>
      </c>
      <c r="R17">
        <v>2</v>
      </c>
      <c r="S17">
        <v>2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2</v>
      </c>
      <c r="AP17">
        <v>2</v>
      </c>
      <c r="AR17">
        <v>0</v>
      </c>
      <c r="AS17">
        <v>14</v>
      </c>
      <c r="AT17">
        <v>14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</v>
      </c>
      <c r="BA17">
        <v>30</v>
      </c>
      <c r="BC17">
        <v>1077003</v>
      </c>
      <c r="BD17" t="s">
        <v>954</v>
      </c>
      <c r="BM17">
        <v>2</v>
      </c>
      <c r="BN17">
        <v>717998</v>
      </c>
    </row>
    <row r="18" spans="1:83" x14ac:dyDescent="0.3">
      <c r="A18">
        <v>17</v>
      </c>
      <c r="B18" t="s">
        <v>415</v>
      </c>
      <c r="C18">
        <v>15356694</v>
      </c>
      <c r="D18" t="s">
        <v>416</v>
      </c>
      <c r="E18" t="s">
        <v>417</v>
      </c>
      <c r="F18" t="s">
        <v>418</v>
      </c>
      <c r="G18" t="s">
        <v>419</v>
      </c>
      <c r="H18" s="1">
        <v>45823</v>
      </c>
      <c r="I18" t="s">
        <v>140</v>
      </c>
      <c r="J18" t="s">
        <v>102</v>
      </c>
      <c r="K18" t="s">
        <v>190</v>
      </c>
      <c r="L18">
        <v>1790000088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R18">
        <v>14</v>
      </c>
      <c r="AS18">
        <v>0</v>
      </c>
      <c r="AT18">
        <v>16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  <c r="BM18">
        <v>0</v>
      </c>
      <c r="BP18">
        <v>150000</v>
      </c>
    </row>
    <row r="19" spans="1:83" x14ac:dyDescent="0.3">
      <c r="A19">
        <v>18</v>
      </c>
      <c r="B19" t="s">
        <v>439</v>
      </c>
      <c r="C19">
        <v>15684747</v>
      </c>
      <c r="D19" t="s">
        <v>186</v>
      </c>
      <c r="E19" t="s">
        <v>440</v>
      </c>
      <c r="F19" t="s">
        <v>441</v>
      </c>
      <c r="G19" t="s">
        <v>442</v>
      </c>
      <c r="H19" s="1">
        <v>45748</v>
      </c>
      <c r="I19" t="s">
        <v>101</v>
      </c>
      <c r="J19" t="s">
        <v>253</v>
      </c>
      <c r="K19" t="s">
        <v>109</v>
      </c>
      <c r="L19">
        <v>1790000088</v>
      </c>
      <c r="M19">
        <v>1</v>
      </c>
      <c r="N19">
        <v>1</v>
      </c>
      <c r="O19">
        <v>3</v>
      </c>
      <c r="P19">
        <v>3</v>
      </c>
      <c r="Q19">
        <v>3</v>
      </c>
      <c r="R19">
        <v>1</v>
      </c>
      <c r="S19">
        <v>1</v>
      </c>
      <c r="T19">
        <v>1</v>
      </c>
      <c r="U19">
        <v>1</v>
      </c>
      <c r="V19">
        <v>3</v>
      </c>
      <c r="W19">
        <v>3</v>
      </c>
      <c r="X19">
        <v>3</v>
      </c>
      <c r="Y19">
        <v>1</v>
      </c>
      <c r="Z19">
        <v>1</v>
      </c>
      <c r="AA19">
        <v>1</v>
      </c>
      <c r="AB19">
        <v>1</v>
      </c>
      <c r="AC19">
        <v>8</v>
      </c>
      <c r="AD19">
        <v>3</v>
      </c>
      <c r="AE19">
        <v>3</v>
      </c>
      <c r="AF19">
        <v>1</v>
      </c>
      <c r="AG19">
        <v>1</v>
      </c>
      <c r="AH19">
        <v>1</v>
      </c>
      <c r="AI19">
        <v>1</v>
      </c>
      <c r="AJ19">
        <v>3</v>
      </c>
      <c r="AK19">
        <v>3</v>
      </c>
      <c r="AL19">
        <v>3</v>
      </c>
      <c r="AM19">
        <v>1</v>
      </c>
      <c r="AN19">
        <v>1</v>
      </c>
      <c r="AO19">
        <v>1</v>
      </c>
      <c r="AP19">
        <v>1</v>
      </c>
      <c r="AR19">
        <v>18</v>
      </c>
      <c r="AS19">
        <v>0</v>
      </c>
      <c r="AT19">
        <v>11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30</v>
      </c>
      <c r="BE19">
        <v>1634000</v>
      </c>
      <c r="BF19" t="s">
        <v>329</v>
      </c>
      <c r="BM19">
        <v>1</v>
      </c>
      <c r="BN19">
        <v>171299</v>
      </c>
      <c r="CE19">
        <v>77281</v>
      </c>
    </row>
    <row r="20" spans="1:83" x14ac:dyDescent="0.3">
      <c r="A20">
        <v>19</v>
      </c>
      <c r="B20" t="s">
        <v>465</v>
      </c>
      <c r="C20">
        <v>15969632</v>
      </c>
      <c r="D20" t="s">
        <v>466</v>
      </c>
      <c r="E20" t="s">
        <v>467</v>
      </c>
      <c r="F20" t="s">
        <v>468</v>
      </c>
      <c r="G20" t="s">
        <v>213</v>
      </c>
      <c r="H20" s="1">
        <v>45824</v>
      </c>
      <c r="I20" t="s">
        <v>140</v>
      </c>
      <c r="J20" t="s">
        <v>102</v>
      </c>
      <c r="K20" t="s">
        <v>190</v>
      </c>
      <c r="L20">
        <v>1790000088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R20">
        <v>14</v>
      </c>
      <c r="AS20">
        <v>0</v>
      </c>
      <c r="AT20">
        <v>16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  <c r="BM20">
        <v>0</v>
      </c>
      <c r="BP20">
        <v>150000</v>
      </c>
    </row>
    <row r="21" spans="1:83" x14ac:dyDescent="0.3">
      <c r="A21">
        <v>20</v>
      </c>
      <c r="B21" t="s">
        <v>473</v>
      </c>
      <c r="C21">
        <v>15980010</v>
      </c>
      <c r="D21" t="s">
        <v>263</v>
      </c>
      <c r="E21" t="s">
        <v>474</v>
      </c>
      <c r="F21" t="s">
        <v>475</v>
      </c>
      <c r="G21" t="s">
        <v>153</v>
      </c>
      <c r="H21" s="1">
        <v>45704</v>
      </c>
      <c r="I21" t="s">
        <v>101</v>
      </c>
      <c r="J21" t="s">
        <v>102</v>
      </c>
      <c r="K21" t="s">
        <v>127</v>
      </c>
      <c r="L21">
        <v>1790000088</v>
      </c>
      <c r="M21">
        <v>2</v>
      </c>
      <c r="N21">
        <v>2</v>
      </c>
      <c r="O21">
        <v>8</v>
      </c>
      <c r="P21">
        <v>8</v>
      </c>
      <c r="Q21">
        <v>2</v>
      </c>
      <c r="R21">
        <v>2</v>
      </c>
      <c r="S21">
        <v>2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R21">
        <v>0</v>
      </c>
      <c r="AS21">
        <v>14</v>
      </c>
      <c r="AT21">
        <v>14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30</v>
      </c>
      <c r="BC21">
        <v>692397</v>
      </c>
      <c r="BD21" t="s">
        <v>954</v>
      </c>
      <c r="BM21">
        <v>2</v>
      </c>
      <c r="BN21">
        <v>461598</v>
      </c>
    </row>
    <row r="22" spans="1:83" x14ac:dyDescent="0.3">
      <c r="A22">
        <v>21</v>
      </c>
      <c r="B22" t="s">
        <v>481</v>
      </c>
      <c r="C22">
        <v>16054274</v>
      </c>
      <c r="D22" t="s">
        <v>482</v>
      </c>
      <c r="E22" t="s">
        <v>483</v>
      </c>
      <c r="F22" t="s">
        <v>484</v>
      </c>
      <c r="G22" t="s">
        <v>312</v>
      </c>
      <c r="H22" s="1">
        <v>45889</v>
      </c>
      <c r="I22" t="s">
        <v>140</v>
      </c>
      <c r="J22" t="s">
        <v>102</v>
      </c>
      <c r="K22" t="s">
        <v>190</v>
      </c>
      <c r="L22">
        <v>1790000088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  <c r="AN22">
        <v>3</v>
      </c>
      <c r="AO22">
        <v>3</v>
      </c>
      <c r="AP22">
        <v>3</v>
      </c>
      <c r="AR22">
        <v>0</v>
      </c>
      <c r="AS22">
        <v>14</v>
      </c>
      <c r="AT22">
        <v>16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  <c r="BC22">
        <v>219165</v>
      </c>
      <c r="BD22" t="s">
        <v>955</v>
      </c>
      <c r="BM22">
        <v>0</v>
      </c>
      <c r="BP22">
        <v>150000</v>
      </c>
    </row>
    <row r="23" spans="1:83" x14ac:dyDescent="0.3">
      <c r="A23">
        <v>22</v>
      </c>
      <c r="B23" t="s">
        <v>485</v>
      </c>
      <c r="C23">
        <v>16055086</v>
      </c>
      <c r="D23" t="s">
        <v>486</v>
      </c>
      <c r="E23" t="s">
        <v>487</v>
      </c>
      <c r="F23" t="s">
        <v>488</v>
      </c>
      <c r="G23" t="s">
        <v>489</v>
      </c>
      <c r="H23" s="1">
        <v>45820</v>
      </c>
      <c r="I23" t="s">
        <v>140</v>
      </c>
      <c r="J23" t="s">
        <v>102</v>
      </c>
      <c r="K23" t="s">
        <v>127</v>
      </c>
      <c r="L23">
        <v>1790000088</v>
      </c>
      <c r="M23">
        <v>2</v>
      </c>
      <c r="N23">
        <v>2</v>
      </c>
      <c r="O23">
        <v>8</v>
      </c>
      <c r="P23">
        <v>8</v>
      </c>
      <c r="Q23">
        <v>2</v>
      </c>
      <c r="R23">
        <v>2</v>
      </c>
      <c r="S23">
        <v>1</v>
      </c>
      <c r="T23">
        <v>3</v>
      </c>
      <c r="U23">
        <v>3</v>
      </c>
      <c r="V23">
        <v>3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2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2</v>
      </c>
      <c r="AP23">
        <v>2</v>
      </c>
      <c r="AR23">
        <v>1</v>
      </c>
      <c r="AS23">
        <v>13</v>
      </c>
      <c r="AT23">
        <v>14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30</v>
      </c>
      <c r="BC23">
        <v>394497</v>
      </c>
      <c r="BD23" t="s">
        <v>954</v>
      </c>
      <c r="BM23">
        <v>2</v>
      </c>
      <c r="BN23">
        <v>170000</v>
      </c>
      <c r="BP23">
        <v>150000</v>
      </c>
    </row>
    <row r="24" spans="1:83" x14ac:dyDescent="0.3">
      <c r="A24">
        <v>23</v>
      </c>
      <c r="B24" t="s">
        <v>499</v>
      </c>
      <c r="C24">
        <v>16352344</v>
      </c>
      <c r="D24" t="s">
        <v>339</v>
      </c>
      <c r="E24" t="s">
        <v>500</v>
      </c>
      <c r="F24" t="s">
        <v>501</v>
      </c>
      <c r="G24" t="s">
        <v>233</v>
      </c>
      <c r="H24" s="1">
        <v>45839</v>
      </c>
      <c r="I24" t="s">
        <v>140</v>
      </c>
      <c r="J24" t="s">
        <v>102</v>
      </c>
      <c r="K24" t="s">
        <v>127</v>
      </c>
      <c r="L24">
        <v>1790000088</v>
      </c>
      <c r="M24">
        <v>2</v>
      </c>
      <c r="N24">
        <v>2</v>
      </c>
      <c r="O24">
        <v>8</v>
      </c>
      <c r="P24">
        <v>8</v>
      </c>
      <c r="Q24">
        <v>2</v>
      </c>
      <c r="R24">
        <v>2</v>
      </c>
      <c r="S24">
        <v>2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2</v>
      </c>
      <c r="AP24">
        <v>2</v>
      </c>
      <c r="AR24">
        <v>0</v>
      </c>
      <c r="AS24">
        <v>14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30</v>
      </c>
      <c r="BC24">
        <v>254997</v>
      </c>
      <c r="BD24" t="s">
        <v>954</v>
      </c>
      <c r="BM24">
        <v>2</v>
      </c>
      <c r="BN24">
        <v>170000</v>
      </c>
      <c r="BP24">
        <v>150000</v>
      </c>
    </row>
    <row r="25" spans="1:83" x14ac:dyDescent="0.3">
      <c r="A25">
        <v>24</v>
      </c>
      <c r="B25" t="s">
        <v>502</v>
      </c>
      <c r="C25">
        <v>16401293</v>
      </c>
      <c r="D25" t="s">
        <v>500</v>
      </c>
      <c r="E25" t="s">
        <v>503</v>
      </c>
      <c r="F25" t="s">
        <v>504</v>
      </c>
      <c r="G25" t="s">
        <v>146</v>
      </c>
      <c r="H25" s="1">
        <v>45846</v>
      </c>
      <c r="I25" t="s">
        <v>140</v>
      </c>
      <c r="J25" t="s">
        <v>102</v>
      </c>
      <c r="K25" t="s">
        <v>190</v>
      </c>
      <c r="L25">
        <v>1790000088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R25">
        <v>0</v>
      </c>
      <c r="AS25">
        <v>14</v>
      </c>
      <c r="AT25">
        <v>16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C25">
        <v>219165</v>
      </c>
      <c r="BD25" t="s">
        <v>955</v>
      </c>
      <c r="BM25">
        <v>0</v>
      </c>
      <c r="BP25">
        <v>150000</v>
      </c>
    </row>
    <row r="26" spans="1:83" x14ac:dyDescent="0.3">
      <c r="A26">
        <v>25</v>
      </c>
      <c r="B26" t="s">
        <v>505</v>
      </c>
      <c r="C26">
        <v>16407359</v>
      </c>
      <c r="D26" t="s">
        <v>506</v>
      </c>
      <c r="E26" t="s">
        <v>507</v>
      </c>
      <c r="F26" t="s">
        <v>508</v>
      </c>
      <c r="G26" t="s">
        <v>160</v>
      </c>
      <c r="H26" s="1">
        <v>45846</v>
      </c>
      <c r="I26" t="s">
        <v>140</v>
      </c>
      <c r="J26" t="s">
        <v>102</v>
      </c>
      <c r="K26" t="s">
        <v>190</v>
      </c>
      <c r="L26">
        <v>1790000088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AR26">
        <v>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11</v>
      </c>
      <c r="BM26">
        <v>0</v>
      </c>
    </row>
    <row r="27" spans="1:83" x14ac:dyDescent="0.3">
      <c r="A27">
        <v>26</v>
      </c>
      <c r="B27" t="s">
        <v>531</v>
      </c>
      <c r="C27">
        <v>16971879</v>
      </c>
      <c r="D27" t="s">
        <v>532</v>
      </c>
      <c r="E27" t="s">
        <v>533</v>
      </c>
      <c r="F27" t="s">
        <v>534</v>
      </c>
      <c r="G27" t="s">
        <v>535</v>
      </c>
      <c r="H27" s="1">
        <v>45880</v>
      </c>
      <c r="I27" t="s">
        <v>140</v>
      </c>
      <c r="J27" t="s">
        <v>102</v>
      </c>
      <c r="K27" t="s">
        <v>190</v>
      </c>
      <c r="L27">
        <v>1790000088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R27">
        <v>0</v>
      </c>
      <c r="AS27">
        <v>14</v>
      </c>
      <c r="AT27">
        <v>16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  <c r="BC27">
        <v>141665</v>
      </c>
      <c r="BD27" t="s">
        <v>955</v>
      </c>
      <c r="BE27">
        <v>250000</v>
      </c>
      <c r="BF27" t="s">
        <v>536</v>
      </c>
      <c r="BM27">
        <v>0</v>
      </c>
      <c r="BP27">
        <v>150000</v>
      </c>
    </row>
    <row r="28" spans="1:83" x14ac:dyDescent="0.3">
      <c r="A28">
        <v>27</v>
      </c>
      <c r="B28" t="s">
        <v>537</v>
      </c>
      <c r="C28">
        <v>17003626</v>
      </c>
      <c r="D28" t="s">
        <v>538</v>
      </c>
      <c r="E28" t="s">
        <v>538</v>
      </c>
      <c r="F28" t="s">
        <v>539</v>
      </c>
      <c r="G28" t="s">
        <v>312</v>
      </c>
      <c r="H28" s="1">
        <v>45839</v>
      </c>
      <c r="I28" t="s">
        <v>140</v>
      </c>
      <c r="J28" t="s">
        <v>102</v>
      </c>
      <c r="K28" t="s">
        <v>127</v>
      </c>
      <c r="L28">
        <v>1790000088</v>
      </c>
      <c r="M28">
        <v>2</v>
      </c>
      <c r="N28">
        <v>2</v>
      </c>
      <c r="O28">
        <v>8</v>
      </c>
      <c r="P28">
        <v>8</v>
      </c>
      <c r="Q28">
        <v>2</v>
      </c>
      <c r="R28">
        <v>2</v>
      </c>
      <c r="S28">
        <v>2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R28">
        <v>0</v>
      </c>
      <c r="AS28">
        <v>14</v>
      </c>
      <c r="AT28">
        <v>14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0</v>
      </c>
      <c r="BA28">
        <v>30</v>
      </c>
      <c r="BC28">
        <v>394497</v>
      </c>
      <c r="BD28" t="s">
        <v>954</v>
      </c>
      <c r="BM28">
        <v>2</v>
      </c>
      <c r="BN28">
        <v>262998</v>
      </c>
      <c r="BP28">
        <v>150000</v>
      </c>
    </row>
    <row r="29" spans="1:83" x14ac:dyDescent="0.3">
      <c r="A29">
        <v>28</v>
      </c>
      <c r="B29" t="s">
        <v>540</v>
      </c>
      <c r="C29">
        <v>17028472</v>
      </c>
      <c r="D29" t="s">
        <v>541</v>
      </c>
      <c r="E29" t="s">
        <v>542</v>
      </c>
      <c r="F29" t="s">
        <v>337</v>
      </c>
      <c r="G29" t="s">
        <v>543</v>
      </c>
      <c r="H29" s="1">
        <v>45820</v>
      </c>
      <c r="I29" t="s">
        <v>140</v>
      </c>
      <c r="J29" t="s">
        <v>102</v>
      </c>
      <c r="K29" t="s">
        <v>109</v>
      </c>
      <c r="L29">
        <v>1790000088</v>
      </c>
      <c r="M29">
        <v>1</v>
      </c>
      <c r="N29">
        <v>1</v>
      </c>
      <c r="O29">
        <v>3</v>
      </c>
      <c r="P29">
        <v>3</v>
      </c>
      <c r="Q29">
        <v>3</v>
      </c>
      <c r="R29">
        <v>1</v>
      </c>
      <c r="S29">
        <v>1</v>
      </c>
      <c r="T29">
        <v>1</v>
      </c>
      <c r="U29">
        <v>1</v>
      </c>
      <c r="V29">
        <v>3</v>
      </c>
      <c r="W29">
        <v>3</v>
      </c>
      <c r="X29">
        <v>3</v>
      </c>
      <c r="Y29">
        <v>1</v>
      </c>
      <c r="Z29">
        <v>1</v>
      </c>
      <c r="AA29">
        <v>1</v>
      </c>
      <c r="AB29">
        <v>1</v>
      </c>
      <c r="AC29">
        <v>3</v>
      </c>
      <c r="AD29">
        <v>3</v>
      </c>
      <c r="AE29">
        <v>3</v>
      </c>
      <c r="AF29">
        <v>1</v>
      </c>
      <c r="AG29">
        <v>1</v>
      </c>
      <c r="AH29">
        <v>1</v>
      </c>
      <c r="AI29">
        <v>1</v>
      </c>
      <c r="AJ29">
        <v>3</v>
      </c>
      <c r="AK29">
        <v>3</v>
      </c>
      <c r="AL29">
        <v>3</v>
      </c>
      <c r="AM29">
        <v>1</v>
      </c>
      <c r="AN29">
        <v>1</v>
      </c>
      <c r="AO29">
        <v>1</v>
      </c>
      <c r="AP29">
        <v>1</v>
      </c>
      <c r="AR29">
        <v>18</v>
      </c>
      <c r="AS29">
        <v>0</v>
      </c>
      <c r="AT29">
        <v>12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  <c r="BC29">
        <v>155001</v>
      </c>
      <c r="BD29" t="s">
        <v>953</v>
      </c>
      <c r="BM29">
        <v>0</v>
      </c>
      <c r="BP29">
        <v>150000</v>
      </c>
    </row>
    <row r="30" spans="1:83" x14ac:dyDescent="0.3">
      <c r="A30">
        <v>29</v>
      </c>
      <c r="B30" t="s">
        <v>562</v>
      </c>
      <c r="C30">
        <v>17193572</v>
      </c>
      <c r="D30" t="s">
        <v>150</v>
      </c>
      <c r="E30" t="s">
        <v>150</v>
      </c>
      <c r="F30" t="s">
        <v>563</v>
      </c>
      <c r="G30" t="s">
        <v>564</v>
      </c>
      <c r="H30" s="1">
        <v>46047</v>
      </c>
      <c r="I30" t="s">
        <v>101</v>
      </c>
      <c r="J30" t="s">
        <v>253</v>
      </c>
      <c r="K30" t="s">
        <v>190</v>
      </c>
      <c r="L30">
        <v>1790000088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R30">
        <v>0</v>
      </c>
      <c r="AS30">
        <v>14</v>
      </c>
      <c r="AT30">
        <v>16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30</v>
      </c>
      <c r="BC30">
        <v>373835</v>
      </c>
      <c r="BD30" t="s">
        <v>955</v>
      </c>
      <c r="BM30">
        <v>0</v>
      </c>
    </row>
    <row r="31" spans="1:83" x14ac:dyDescent="0.3">
      <c r="A31">
        <v>30</v>
      </c>
      <c r="B31" t="s">
        <v>570</v>
      </c>
      <c r="C31">
        <v>17331556</v>
      </c>
      <c r="D31" t="s">
        <v>571</v>
      </c>
      <c r="E31" t="s">
        <v>572</v>
      </c>
      <c r="F31" t="s">
        <v>573</v>
      </c>
      <c r="G31" t="s">
        <v>153</v>
      </c>
      <c r="H31" s="1">
        <v>45798</v>
      </c>
      <c r="I31" t="s">
        <v>101</v>
      </c>
      <c r="J31" t="s">
        <v>102</v>
      </c>
      <c r="K31" t="s">
        <v>190</v>
      </c>
      <c r="L31">
        <v>1790000088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1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R31">
        <v>1</v>
      </c>
      <c r="AS31">
        <v>14</v>
      </c>
      <c r="AT31">
        <v>15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BC31">
        <v>384665</v>
      </c>
      <c r="BD31" t="s">
        <v>955</v>
      </c>
      <c r="BM31">
        <v>0</v>
      </c>
    </row>
    <row r="32" spans="1:83" x14ac:dyDescent="0.3">
      <c r="A32">
        <v>31</v>
      </c>
      <c r="B32" t="s">
        <v>584</v>
      </c>
      <c r="C32">
        <v>17499645</v>
      </c>
      <c r="D32" t="s">
        <v>585</v>
      </c>
      <c r="E32" t="s">
        <v>586</v>
      </c>
      <c r="F32" t="s">
        <v>587</v>
      </c>
      <c r="G32" t="s">
        <v>588</v>
      </c>
      <c r="H32" s="1">
        <v>45689</v>
      </c>
      <c r="I32" t="s">
        <v>101</v>
      </c>
      <c r="J32" t="s">
        <v>102</v>
      </c>
      <c r="K32" t="s">
        <v>109</v>
      </c>
      <c r="L32">
        <v>1790000088</v>
      </c>
      <c r="M32">
        <v>1</v>
      </c>
      <c r="N32">
        <v>1</v>
      </c>
      <c r="O32">
        <v>3</v>
      </c>
      <c r="P32">
        <v>3</v>
      </c>
      <c r="Q32">
        <v>3</v>
      </c>
      <c r="R32">
        <v>1</v>
      </c>
      <c r="S32">
        <v>1</v>
      </c>
      <c r="T32">
        <v>1</v>
      </c>
      <c r="U32">
        <v>1</v>
      </c>
      <c r="V32">
        <v>3</v>
      </c>
      <c r="W32">
        <v>3</v>
      </c>
      <c r="X32">
        <v>3</v>
      </c>
      <c r="Y32">
        <v>1</v>
      </c>
      <c r="Z32">
        <v>1</v>
      </c>
      <c r="AA32">
        <v>1</v>
      </c>
      <c r="AB32">
        <v>1</v>
      </c>
      <c r="AC32">
        <v>3</v>
      </c>
      <c r="AD32">
        <v>3</v>
      </c>
      <c r="AE32">
        <v>3</v>
      </c>
      <c r="AF32">
        <v>1</v>
      </c>
      <c r="AG32">
        <v>1</v>
      </c>
      <c r="AH32">
        <v>1</v>
      </c>
      <c r="AI32">
        <v>1</v>
      </c>
      <c r="AJ32">
        <v>3</v>
      </c>
      <c r="AK32">
        <v>3</v>
      </c>
      <c r="AL32">
        <v>3</v>
      </c>
      <c r="AM32">
        <v>1</v>
      </c>
      <c r="AN32">
        <v>1</v>
      </c>
      <c r="AO32">
        <v>1</v>
      </c>
      <c r="AP32">
        <v>1</v>
      </c>
      <c r="AR32">
        <v>18</v>
      </c>
      <c r="AS32">
        <v>0</v>
      </c>
      <c r="AT32">
        <v>12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30</v>
      </c>
      <c r="BE32">
        <v>338000</v>
      </c>
      <c r="BF32" t="s">
        <v>589</v>
      </c>
      <c r="BG32">
        <v>312500</v>
      </c>
      <c r="BH32" t="s">
        <v>590</v>
      </c>
      <c r="BM32">
        <v>0</v>
      </c>
    </row>
    <row r="33" spans="1:83" x14ac:dyDescent="0.3">
      <c r="A33">
        <v>32</v>
      </c>
      <c r="B33" t="s">
        <v>591</v>
      </c>
      <c r="C33">
        <v>17641049</v>
      </c>
      <c r="D33" t="s">
        <v>165</v>
      </c>
      <c r="E33" t="s">
        <v>592</v>
      </c>
      <c r="F33" t="s">
        <v>593</v>
      </c>
      <c r="G33" t="s">
        <v>594</v>
      </c>
      <c r="H33" s="1">
        <v>45815</v>
      </c>
      <c r="I33" t="s">
        <v>101</v>
      </c>
      <c r="J33" t="s">
        <v>102</v>
      </c>
      <c r="K33" t="s">
        <v>127</v>
      </c>
      <c r="L33">
        <v>1790000088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R33">
        <v>21</v>
      </c>
      <c r="AS33">
        <v>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30</v>
      </c>
      <c r="BC33">
        <v>370197</v>
      </c>
      <c r="BD33" t="s">
        <v>954</v>
      </c>
      <c r="BM33">
        <v>0</v>
      </c>
      <c r="BP33">
        <v>75000</v>
      </c>
    </row>
    <row r="34" spans="1:83" x14ac:dyDescent="0.3">
      <c r="A34">
        <v>33</v>
      </c>
      <c r="B34" t="s">
        <v>613</v>
      </c>
      <c r="C34">
        <v>17773864</v>
      </c>
      <c r="D34" t="s">
        <v>259</v>
      </c>
      <c r="E34" t="s">
        <v>614</v>
      </c>
      <c r="F34" t="s">
        <v>615</v>
      </c>
      <c r="G34" t="s">
        <v>616</v>
      </c>
      <c r="H34" s="1">
        <v>45931</v>
      </c>
      <c r="I34" t="s">
        <v>101</v>
      </c>
      <c r="J34" t="s">
        <v>102</v>
      </c>
      <c r="K34" t="s">
        <v>190</v>
      </c>
      <c r="L34">
        <v>1790000088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1</v>
      </c>
      <c r="T34">
        <v>1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R34">
        <v>2</v>
      </c>
      <c r="AS34">
        <v>13</v>
      </c>
      <c r="AT34">
        <v>15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30</v>
      </c>
      <c r="BC34">
        <v>406835</v>
      </c>
      <c r="BD34" t="s">
        <v>955</v>
      </c>
      <c r="BM34">
        <v>0</v>
      </c>
      <c r="CE34">
        <v>117625</v>
      </c>
    </row>
    <row r="35" spans="1:83" x14ac:dyDescent="0.3">
      <c r="A35">
        <v>34</v>
      </c>
      <c r="B35" t="s">
        <v>625</v>
      </c>
      <c r="C35">
        <v>18055189</v>
      </c>
      <c r="D35" t="s">
        <v>626</v>
      </c>
      <c r="E35" t="s">
        <v>627</v>
      </c>
      <c r="F35" t="s">
        <v>628</v>
      </c>
      <c r="G35" t="s">
        <v>543</v>
      </c>
      <c r="H35" s="1">
        <v>45824</v>
      </c>
      <c r="I35" t="s">
        <v>140</v>
      </c>
      <c r="J35" t="s">
        <v>102</v>
      </c>
      <c r="K35" t="s">
        <v>109</v>
      </c>
      <c r="L35">
        <v>1790000088</v>
      </c>
      <c r="M35">
        <v>2</v>
      </c>
      <c r="N35">
        <v>2</v>
      </c>
      <c r="O35">
        <v>8</v>
      </c>
      <c r="P35">
        <v>8</v>
      </c>
      <c r="Q35">
        <v>2</v>
      </c>
      <c r="R35">
        <v>2</v>
      </c>
      <c r="S35">
        <v>2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R35">
        <v>0</v>
      </c>
      <c r="AS35">
        <v>14</v>
      </c>
      <c r="AT35">
        <v>14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30</v>
      </c>
      <c r="BC35">
        <v>394497</v>
      </c>
      <c r="BD35" t="s">
        <v>954</v>
      </c>
      <c r="BM35">
        <v>2</v>
      </c>
      <c r="BN35">
        <v>309998</v>
      </c>
      <c r="BP35">
        <v>150000</v>
      </c>
    </row>
    <row r="36" spans="1:83" x14ac:dyDescent="0.3">
      <c r="A36">
        <v>35</v>
      </c>
      <c r="B36" t="s">
        <v>644</v>
      </c>
      <c r="C36">
        <v>18255837</v>
      </c>
      <c r="D36" t="s">
        <v>645</v>
      </c>
      <c r="E36" t="s">
        <v>503</v>
      </c>
      <c r="F36" t="s">
        <v>646</v>
      </c>
      <c r="G36" t="s">
        <v>189</v>
      </c>
      <c r="H36" s="1">
        <v>45758</v>
      </c>
      <c r="I36" t="s">
        <v>140</v>
      </c>
      <c r="J36" t="s">
        <v>102</v>
      </c>
      <c r="K36" t="s">
        <v>127</v>
      </c>
      <c r="L36">
        <v>1790000088</v>
      </c>
      <c r="M36">
        <v>2</v>
      </c>
      <c r="N36">
        <v>2</v>
      </c>
      <c r="O36">
        <v>8</v>
      </c>
      <c r="P36">
        <v>8</v>
      </c>
      <c r="Q36">
        <v>2</v>
      </c>
      <c r="R36">
        <v>2</v>
      </c>
      <c r="S36">
        <v>2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R36">
        <v>0</v>
      </c>
      <c r="AS36">
        <v>14</v>
      </c>
      <c r="AT36">
        <v>14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0</v>
      </c>
      <c r="BA36">
        <v>30</v>
      </c>
      <c r="BC36">
        <v>465003</v>
      </c>
      <c r="BD36" t="s">
        <v>954</v>
      </c>
      <c r="BM36">
        <v>2</v>
      </c>
      <c r="BN36">
        <v>309998</v>
      </c>
      <c r="BP36">
        <v>150000</v>
      </c>
    </row>
    <row r="37" spans="1:83" x14ac:dyDescent="0.3">
      <c r="A37">
        <v>36</v>
      </c>
      <c r="B37" t="s">
        <v>651</v>
      </c>
      <c r="C37">
        <v>18317023</v>
      </c>
      <c r="D37" t="s">
        <v>296</v>
      </c>
      <c r="E37" t="s">
        <v>652</v>
      </c>
      <c r="F37" t="s">
        <v>653</v>
      </c>
      <c r="G37" t="s">
        <v>160</v>
      </c>
      <c r="H37" s="1">
        <v>45962</v>
      </c>
      <c r="I37" t="s">
        <v>140</v>
      </c>
      <c r="J37" t="s">
        <v>102</v>
      </c>
      <c r="K37" t="s">
        <v>190</v>
      </c>
      <c r="L37">
        <v>1790000088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R37">
        <v>0</v>
      </c>
      <c r="AS37">
        <v>14</v>
      </c>
      <c r="AT37">
        <v>16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30</v>
      </c>
      <c r="BC37">
        <v>124335</v>
      </c>
      <c r="BD37" t="s">
        <v>955</v>
      </c>
      <c r="BM37">
        <v>0</v>
      </c>
      <c r="BP37">
        <v>150000</v>
      </c>
    </row>
    <row r="38" spans="1:83" x14ac:dyDescent="0.3">
      <c r="A38">
        <v>37</v>
      </c>
      <c r="B38" t="s">
        <v>681</v>
      </c>
      <c r="C38">
        <v>18840949</v>
      </c>
      <c r="D38" t="s">
        <v>682</v>
      </c>
      <c r="E38" t="s">
        <v>683</v>
      </c>
      <c r="F38" t="s">
        <v>684</v>
      </c>
      <c r="G38" t="s">
        <v>685</v>
      </c>
      <c r="H38" s="1">
        <v>45962</v>
      </c>
      <c r="I38" t="s">
        <v>140</v>
      </c>
      <c r="J38" t="s">
        <v>102</v>
      </c>
      <c r="K38" t="s">
        <v>190</v>
      </c>
      <c r="L38">
        <v>1790000088</v>
      </c>
      <c r="M38">
        <v>1</v>
      </c>
      <c r="N38">
        <v>1</v>
      </c>
      <c r="O38">
        <v>1</v>
      </c>
      <c r="P38">
        <v>1</v>
      </c>
      <c r="AR38">
        <v>4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4</v>
      </c>
      <c r="BM38">
        <v>0</v>
      </c>
    </row>
    <row r="39" spans="1:83" x14ac:dyDescent="0.3">
      <c r="A39">
        <v>38</v>
      </c>
      <c r="B39" t="s">
        <v>694</v>
      </c>
      <c r="C39">
        <v>19099785</v>
      </c>
      <c r="D39" t="s">
        <v>695</v>
      </c>
      <c r="E39" t="s">
        <v>696</v>
      </c>
      <c r="F39" t="s">
        <v>697</v>
      </c>
      <c r="G39" t="s">
        <v>698</v>
      </c>
      <c r="H39" s="1">
        <v>45754</v>
      </c>
      <c r="I39" t="s">
        <v>101</v>
      </c>
      <c r="J39" t="s">
        <v>102</v>
      </c>
      <c r="K39" t="s">
        <v>109</v>
      </c>
      <c r="L39">
        <v>1790000088</v>
      </c>
      <c r="M39">
        <v>1</v>
      </c>
      <c r="N39">
        <v>1</v>
      </c>
      <c r="O39">
        <v>3</v>
      </c>
      <c r="P39">
        <v>3</v>
      </c>
      <c r="Q39">
        <v>3</v>
      </c>
      <c r="R39">
        <v>1</v>
      </c>
      <c r="S39">
        <v>1</v>
      </c>
      <c r="T39">
        <v>1</v>
      </c>
      <c r="U39">
        <v>1</v>
      </c>
      <c r="V39">
        <v>3</v>
      </c>
      <c r="W39">
        <v>3</v>
      </c>
      <c r="X39">
        <v>3</v>
      </c>
      <c r="Y39">
        <v>1</v>
      </c>
      <c r="Z39">
        <v>1</v>
      </c>
      <c r="AA39">
        <v>1</v>
      </c>
      <c r="AB39">
        <v>1</v>
      </c>
      <c r="AC39">
        <v>3</v>
      </c>
      <c r="AD39">
        <v>3</v>
      </c>
      <c r="AE39">
        <v>3</v>
      </c>
      <c r="AF39">
        <v>1</v>
      </c>
      <c r="AG39">
        <v>1</v>
      </c>
      <c r="AH39">
        <v>1</v>
      </c>
      <c r="AI39">
        <v>1</v>
      </c>
      <c r="AJ39">
        <v>3</v>
      </c>
      <c r="AK39">
        <v>3</v>
      </c>
      <c r="AL39">
        <v>3</v>
      </c>
      <c r="AM39">
        <v>1</v>
      </c>
      <c r="AN39">
        <v>1</v>
      </c>
      <c r="AO39">
        <v>1</v>
      </c>
      <c r="AP39">
        <v>1</v>
      </c>
      <c r="AR39">
        <v>18</v>
      </c>
      <c r="AS39">
        <v>0</v>
      </c>
      <c r="AT39">
        <v>12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  <c r="BM39">
        <v>0</v>
      </c>
    </row>
    <row r="40" spans="1:83" x14ac:dyDescent="0.3">
      <c r="A40">
        <v>39</v>
      </c>
      <c r="B40" t="s">
        <v>710</v>
      </c>
      <c r="C40">
        <v>19206550</v>
      </c>
      <c r="D40" t="s">
        <v>711</v>
      </c>
      <c r="E40" t="s">
        <v>712</v>
      </c>
      <c r="F40" t="s">
        <v>713</v>
      </c>
      <c r="G40" t="s">
        <v>426</v>
      </c>
      <c r="H40" s="1">
        <v>45880</v>
      </c>
      <c r="I40" t="s">
        <v>101</v>
      </c>
      <c r="J40" t="s">
        <v>102</v>
      </c>
      <c r="K40" t="s">
        <v>109</v>
      </c>
      <c r="L40">
        <v>1790000088</v>
      </c>
      <c r="M40">
        <v>1</v>
      </c>
      <c r="N40">
        <v>3</v>
      </c>
      <c r="O40">
        <v>3</v>
      </c>
      <c r="P40">
        <v>3</v>
      </c>
      <c r="AR40">
        <v>1</v>
      </c>
      <c r="AS40">
        <v>0</v>
      </c>
      <c r="AT40">
        <v>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4</v>
      </c>
      <c r="BM40">
        <v>0</v>
      </c>
    </row>
    <row r="41" spans="1:83" x14ac:dyDescent="0.3">
      <c r="A41">
        <v>40</v>
      </c>
      <c r="B41" t="s">
        <v>727</v>
      </c>
      <c r="C41">
        <v>19398564</v>
      </c>
      <c r="D41" t="s">
        <v>728</v>
      </c>
      <c r="E41" t="s">
        <v>144</v>
      </c>
      <c r="F41" t="s">
        <v>729</v>
      </c>
      <c r="G41" t="s">
        <v>564</v>
      </c>
      <c r="H41" s="1">
        <v>45712</v>
      </c>
      <c r="I41" t="s">
        <v>101</v>
      </c>
      <c r="J41" t="s">
        <v>253</v>
      </c>
      <c r="K41" t="s">
        <v>127</v>
      </c>
      <c r="L41">
        <v>1790000088</v>
      </c>
      <c r="M41">
        <v>2</v>
      </c>
      <c r="N41">
        <v>2</v>
      </c>
      <c r="O41">
        <v>8</v>
      </c>
      <c r="P41">
        <v>8</v>
      </c>
      <c r="Q41">
        <v>2</v>
      </c>
      <c r="R41">
        <v>2</v>
      </c>
      <c r="S41">
        <v>2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R41">
        <v>0</v>
      </c>
      <c r="AS41">
        <v>14</v>
      </c>
      <c r="AT41">
        <v>14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</v>
      </c>
      <c r="BA41">
        <v>30</v>
      </c>
      <c r="BC41">
        <v>614997</v>
      </c>
      <c r="BD41" t="s">
        <v>956</v>
      </c>
      <c r="BM41">
        <v>2</v>
      </c>
      <c r="BN41">
        <v>448598</v>
      </c>
    </row>
    <row r="42" spans="1:83" x14ac:dyDescent="0.3">
      <c r="A42">
        <v>41</v>
      </c>
      <c r="B42" t="s">
        <v>737</v>
      </c>
      <c r="C42">
        <v>19551679</v>
      </c>
      <c r="D42" t="s">
        <v>738</v>
      </c>
      <c r="E42" t="s">
        <v>143</v>
      </c>
      <c r="F42" t="s">
        <v>739</v>
      </c>
      <c r="G42" t="s">
        <v>740</v>
      </c>
      <c r="H42" s="1">
        <v>45839</v>
      </c>
      <c r="I42" t="s">
        <v>101</v>
      </c>
      <c r="J42" t="s">
        <v>102</v>
      </c>
      <c r="K42" t="s">
        <v>109</v>
      </c>
      <c r="L42">
        <v>1790000088</v>
      </c>
      <c r="M42">
        <v>1</v>
      </c>
      <c r="N42">
        <v>3</v>
      </c>
      <c r="O42">
        <v>3</v>
      </c>
      <c r="P42">
        <v>3</v>
      </c>
      <c r="AR42">
        <v>1</v>
      </c>
      <c r="AS42">
        <v>0</v>
      </c>
      <c r="AT42">
        <v>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4</v>
      </c>
      <c r="BM42">
        <v>0</v>
      </c>
    </row>
    <row r="43" spans="1:83" x14ac:dyDescent="0.3">
      <c r="A43">
        <v>42</v>
      </c>
      <c r="B43" t="s">
        <v>747</v>
      </c>
      <c r="C43">
        <v>19663706</v>
      </c>
      <c r="D43" t="s">
        <v>748</v>
      </c>
      <c r="E43" t="s">
        <v>749</v>
      </c>
      <c r="F43" t="s">
        <v>750</v>
      </c>
      <c r="G43" t="s">
        <v>160</v>
      </c>
      <c r="H43" s="1">
        <v>45820</v>
      </c>
      <c r="I43" t="s">
        <v>140</v>
      </c>
      <c r="J43" t="s">
        <v>102</v>
      </c>
      <c r="K43" t="s">
        <v>127</v>
      </c>
      <c r="L43">
        <v>1790000088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AR43">
        <v>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11</v>
      </c>
      <c r="BM43">
        <v>0</v>
      </c>
    </row>
    <row r="44" spans="1:83" x14ac:dyDescent="0.3">
      <c r="A44">
        <v>43</v>
      </c>
      <c r="B44" t="s">
        <v>765</v>
      </c>
      <c r="C44">
        <v>19924867</v>
      </c>
      <c r="D44" t="s">
        <v>766</v>
      </c>
      <c r="E44" t="s">
        <v>226</v>
      </c>
      <c r="F44" t="s">
        <v>767</v>
      </c>
      <c r="G44" t="s">
        <v>489</v>
      </c>
      <c r="H44" s="1">
        <v>45839</v>
      </c>
      <c r="I44" t="s">
        <v>140</v>
      </c>
      <c r="J44" t="s">
        <v>102</v>
      </c>
      <c r="K44" t="s">
        <v>190</v>
      </c>
      <c r="L44">
        <v>1790000088</v>
      </c>
      <c r="M44">
        <v>3</v>
      </c>
      <c r="N44">
        <v>3</v>
      </c>
      <c r="O44">
        <v>3</v>
      </c>
      <c r="P44">
        <v>3</v>
      </c>
      <c r="Q44">
        <v>3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R44">
        <v>0</v>
      </c>
      <c r="AS44">
        <v>16</v>
      </c>
      <c r="AT44">
        <v>14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  <c r="BC44">
        <v>219165</v>
      </c>
      <c r="BD44" t="s">
        <v>955</v>
      </c>
      <c r="BM44">
        <v>0</v>
      </c>
      <c r="BP44">
        <v>150000</v>
      </c>
    </row>
    <row r="45" spans="1:83" x14ac:dyDescent="0.3">
      <c r="A45">
        <v>44</v>
      </c>
      <c r="B45" t="s">
        <v>768</v>
      </c>
      <c r="C45">
        <v>19967782</v>
      </c>
      <c r="D45" t="s">
        <v>396</v>
      </c>
      <c r="E45" t="s">
        <v>143</v>
      </c>
      <c r="F45" t="s">
        <v>769</v>
      </c>
      <c r="G45" t="s">
        <v>770</v>
      </c>
      <c r="H45" s="1">
        <v>45820</v>
      </c>
      <c r="I45" t="s">
        <v>140</v>
      </c>
      <c r="J45" t="s">
        <v>102</v>
      </c>
      <c r="K45" t="s">
        <v>196</v>
      </c>
      <c r="L45">
        <v>1790000088</v>
      </c>
      <c r="M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M45">
        <v>0</v>
      </c>
    </row>
    <row r="46" spans="1:83" x14ac:dyDescent="0.3">
      <c r="A46">
        <v>45</v>
      </c>
      <c r="B46" t="s">
        <v>820</v>
      </c>
      <c r="C46">
        <v>20952696</v>
      </c>
      <c r="D46" t="s">
        <v>246</v>
      </c>
      <c r="E46" t="s">
        <v>821</v>
      </c>
      <c r="F46" t="s">
        <v>822</v>
      </c>
      <c r="G46" t="s">
        <v>489</v>
      </c>
      <c r="H46" s="1">
        <v>45824</v>
      </c>
      <c r="I46" t="s">
        <v>140</v>
      </c>
      <c r="J46" t="s">
        <v>102</v>
      </c>
      <c r="K46" t="s">
        <v>190</v>
      </c>
      <c r="L46">
        <v>1790000088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R46">
        <v>16</v>
      </c>
      <c r="AS46">
        <v>0</v>
      </c>
      <c r="AT46">
        <v>14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M46">
        <v>0</v>
      </c>
      <c r="BP46">
        <v>150000</v>
      </c>
    </row>
    <row r="47" spans="1:83" x14ac:dyDescent="0.3">
      <c r="A47">
        <v>46</v>
      </c>
      <c r="B47" t="s">
        <v>870</v>
      </c>
      <c r="C47">
        <v>26084510</v>
      </c>
      <c r="D47" t="s">
        <v>871</v>
      </c>
      <c r="E47" t="s">
        <v>872</v>
      </c>
      <c r="F47" t="s">
        <v>873</v>
      </c>
      <c r="G47" t="s">
        <v>146</v>
      </c>
      <c r="H47" s="1">
        <v>45839</v>
      </c>
      <c r="I47" t="s">
        <v>140</v>
      </c>
      <c r="J47" t="s">
        <v>102</v>
      </c>
      <c r="K47" t="s">
        <v>127</v>
      </c>
      <c r="L47">
        <v>1790000088</v>
      </c>
      <c r="M47">
        <v>2</v>
      </c>
      <c r="N47">
        <v>2</v>
      </c>
      <c r="O47">
        <v>8</v>
      </c>
      <c r="P47">
        <v>8</v>
      </c>
      <c r="Q47">
        <v>2</v>
      </c>
      <c r="R47">
        <v>2</v>
      </c>
      <c r="S47">
        <v>2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2</v>
      </c>
      <c r="AR47">
        <v>0</v>
      </c>
      <c r="AS47">
        <v>14</v>
      </c>
      <c r="AT47">
        <v>14</v>
      </c>
      <c r="AU47">
        <v>0</v>
      </c>
      <c r="AV47">
        <v>0</v>
      </c>
      <c r="AW47">
        <v>0</v>
      </c>
      <c r="AX47">
        <v>0</v>
      </c>
      <c r="AY47">
        <v>2</v>
      </c>
      <c r="AZ47">
        <v>0</v>
      </c>
      <c r="BA47">
        <v>30</v>
      </c>
      <c r="BC47">
        <v>394497</v>
      </c>
      <c r="BD47" t="s">
        <v>954</v>
      </c>
      <c r="BM47">
        <v>2</v>
      </c>
      <c r="BN47">
        <v>262998</v>
      </c>
      <c r="BP47">
        <v>150000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7EAE-9631-4529-BC3C-32F46EFE07A0}">
  <dimension ref="A1:CL29"/>
  <sheetViews>
    <sheetView workbookViewId="0"/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6.33203125" bestFit="1" customWidth="1"/>
    <col min="7" max="7" width="33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46.441406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41.10937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20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4.109375" bestFit="1" customWidth="1"/>
    <col min="87" max="87" width="35.5546875" bestFit="1" customWidth="1"/>
    <col min="88" max="88" width="49.33203125" bestFit="1" customWidth="1"/>
    <col min="89" max="89" width="32.6640625" bestFit="1" customWidth="1"/>
    <col min="90" max="90" width="29.109375" bestFit="1" customWidth="1"/>
  </cols>
  <sheetData>
    <row r="1" spans="1:90" x14ac:dyDescent="0.3">
      <c r="A1" t="s">
        <v>951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952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">
      <c r="A2">
        <v>1</v>
      </c>
      <c r="B2" t="s">
        <v>371</v>
      </c>
      <c r="C2">
        <v>14296775</v>
      </c>
      <c r="D2" t="s">
        <v>230</v>
      </c>
      <c r="E2" t="s">
        <v>372</v>
      </c>
      <c r="F2" t="s">
        <v>373</v>
      </c>
      <c r="G2" t="s">
        <v>289</v>
      </c>
      <c r="H2" s="1">
        <v>46054</v>
      </c>
      <c r="I2" t="s">
        <v>101</v>
      </c>
      <c r="J2" t="s">
        <v>102</v>
      </c>
      <c r="K2" t="s">
        <v>141</v>
      </c>
      <c r="L2">
        <v>1790000091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3</v>
      </c>
      <c r="AP2">
        <v>3</v>
      </c>
      <c r="AR2">
        <v>0</v>
      </c>
      <c r="AS2">
        <v>14</v>
      </c>
      <c r="AT2">
        <v>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E2">
        <v>1644000</v>
      </c>
      <c r="BF2" t="s">
        <v>317</v>
      </c>
      <c r="CE2">
        <v>77281</v>
      </c>
    </row>
    <row r="3" spans="1:90" x14ac:dyDescent="0.3">
      <c r="A3">
        <v>2</v>
      </c>
      <c r="B3" t="s">
        <v>601</v>
      </c>
      <c r="C3">
        <v>17712341</v>
      </c>
      <c r="D3" t="s">
        <v>143</v>
      </c>
      <c r="E3" t="s">
        <v>143</v>
      </c>
      <c r="F3" t="s">
        <v>602</v>
      </c>
      <c r="G3" t="s">
        <v>603</v>
      </c>
      <c r="H3" s="1">
        <v>46054</v>
      </c>
      <c r="I3" t="s">
        <v>101</v>
      </c>
      <c r="J3" t="s">
        <v>102</v>
      </c>
      <c r="K3" t="s">
        <v>141</v>
      </c>
      <c r="L3">
        <v>1790000091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3</v>
      </c>
      <c r="AP3">
        <v>3</v>
      </c>
      <c r="AR3">
        <v>0</v>
      </c>
      <c r="AS3">
        <v>14</v>
      </c>
      <c r="AT3">
        <v>16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CE3">
        <v>74406</v>
      </c>
    </row>
    <row r="4" spans="1:90" x14ac:dyDescent="0.3">
      <c r="A4">
        <v>3</v>
      </c>
      <c r="B4" t="s">
        <v>410</v>
      </c>
      <c r="C4">
        <v>15164558</v>
      </c>
      <c r="D4" t="s">
        <v>411</v>
      </c>
      <c r="E4" t="s">
        <v>412</v>
      </c>
      <c r="F4" t="s">
        <v>413</v>
      </c>
      <c r="G4" t="s">
        <v>414</v>
      </c>
      <c r="H4" s="1">
        <v>46054</v>
      </c>
      <c r="I4" t="s">
        <v>101</v>
      </c>
      <c r="J4" t="s">
        <v>102</v>
      </c>
      <c r="K4" t="s">
        <v>141</v>
      </c>
      <c r="L4">
        <v>1790000091</v>
      </c>
      <c r="M4">
        <v>3</v>
      </c>
      <c r="N4">
        <v>3</v>
      </c>
      <c r="O4">
        <v>8</v>
      </c>
      <c r="P4">
        <v>3</v>
      </c>
      <c r="Q4">
        <v>3</v>
      </c>
      <c r="R4">
        <v>3</v>
      </c>
      <c r="S4">
        <v>3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3</v>
      </c>
      <c r="AP4">
        <v>3</v>
      </c>
      <c r="AR4">
        <v>0</v>
      </c>
      <c r="AS4">
        <v>14</v>
      </c>
      <c r="AT4">
        <v>15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30</v>
      </c>
      <c r="BM4">
        <v>1</v>
      </c>
      <c r="BN4">
        <v>243000</v>
      </c>
    </row>
    <row r="5" spans="1:90" x14ac:dyDescent="0.3">
      <c r="A5">
        <v>4</v>
      </c>
      <c r="B5" t="s">
        <v>654</v>
      </c>
      <c r="C5">
        <v>18318148</v>
      </c>
      <c r="D5" t="s">
        <v>296</v>
      </c>
      <c r="E5" t="s">
        <v>296</v>
      </c>
      <c r="F5" t="s">
        <v>655</v>
      </c>
      <c r="G5" t="s">
        <v>189</v>
      </c>
      <c r="H5" s="1">
        <v>46054</v>
      </c>
      <c r="I5" t="s">
        <v>140</v>
      </c>
      <c r="J5" t="s">
        <v>102</v>
      </c>
      <c r="K5" t="s">
        <v>141</v>
      </c>
      <c r="L5">
        <v>1790000091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2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3</v>
      </c>
      <c r="AP5">
        <v>3</v>
      </c>
      <c r="AR5">
        <v>0</v>
      </c>
      <c r="AS5">
        <v>14</v>
      </c>
      <c r="AT5">
        <v>16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</row>
    <row r="6" spans="1:90" x14ac:dyDescent="0.3">
      <c r="A6">
        <v>5</v>
      </c>
      <c r="B6" t="s">
        <v>807</v>
      </c>
      <c r="C6">
        <v>20600125</v>
      </c>
      <c r="D6" t="s">
        <v>721</v>
      </c>
      <c r="E6" t="s">
        <v>808</v>
      </c>
      <c r="F6" t="s">
        <v>802</v>
      </c>
      <c r="G6" t="s">
        <v>356</v>
      </c>
      <c r="H6" s="1">
        <v>46068</v>
      </c>
      <c r="I6" t="s">
        <v>140</v>
      </c>
      <c r="J6" t="s">
        <v>102</v>
      </c>
      <c r="K6" t="s">
        <v>141</v>
      </c>
      <c r="L6">
        <v>1790000091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3</v>
      </c>
      <c r="AP6">
        <v>3</v>
      </c>
      <c r="AR6">
        <v>0</v>
      </c>
      <c r="AS6">
        <v>14</v>
      </c>
      <c r="AT6">
        <v>16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</row>
    <row r="7" spans="1:90" x14ac:dyDescent="0.3">
      <c r="A7">
        <v>6</v>
      </c>
      <c r="B7" t="s">
        <v>552</v>
      </c>
      <c r="C7">
        <v>17131650</v>
      </c>
      <c r="D7" t="s">
        <v>553</v>
      </c>
      <c r="E7" t="s">
        <v>554</v>
      </c>
      <c r="F7" t="s">
        <v>555</v>
      </c>
      <c r="G7" t="s">
        <v>139</v>
      </c>
      <c r="H7" s="1">
        <v>46068</v>
      </c>
      <c r="I7" t="s">
        <v>140</v>
      </c>
      <c r="J7" t="s">
        <v>102</v>
      </c>
      <c r="K7" t="s">
        <v>141</v>
      </c>
      <c r="L7">
        <v>1790000091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3</v>
      </c>
      <c r="AP7">
        <v>3</v>
      </c>
      <c r="AR7">
        <v>0</v>
      </c>
      <c r="AS7">
        <v>14</v>
      </c>
      <c r="AT7">
        <v>16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</row>
    <row r="8" spans="1:90" x14ac:dyDescent="0.3">
      <c r="A8">
        <v>7</v>
      </c>
      <c r="B8" t="s">
        <v>494</v>
      </c>
      <c r="C8">
        <v>16110209</v>
      </c>
      <c r="D8" t="s">
        <v>495</v>
      </c>
      <c r="E8" t="s">
        <v>496</v>
      </c>
      <c r="F8" t="s">
        <v>497</v>
      </c>
      <c r="G8" t="s">
        <v>498</v>
      </c>
      <c r="H8" s="1">
        <v>46063</v>
      </c>
      <c r="I8" t="s">
        <v>140</v>
      </c>
      <c r="J8" t="s">
        <v>102</v>
      </c>
      <c r="K8" t="s">
        <v>141</v>
      </c>
      <c r="L8">
        <v>1790000091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3</v>
      </c>
      <c r="AP8">
        <v>3</v>
      </c>
      <c r="AR8">
        <v>0</v>
      </c>
      <c r="AS8">
        <v>14</v>
      </c>
      <c r="AT8">
        <v>16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</row>
    <row r="9" spans="1:90" x14ac:dyDescent="0.3">
      <c r="A9">
        <v>8</v>
      </c>
      <c r="B9" t="s">
        <v>578</v>
      </c>
      <c r="C9">
        <v>17363318</v>
      </c>
      <c r="D9" t="s">
        <v>259</v>
      </c>
      <c r="E9" t="s">
        <v>579</v>
      </c>
      <c r="F9" t="s">
        <v>580</v>
      </c>
      <c r="G9" t="s">
        <v>419</v>
      </c>
      <c r="H9" s="1">
        <v>46054</v>
      </c>
      <c r="I9" t="s">
        <v>140</v>
      </c>
      <c r="J9" t="s">
        <v>102</v>
      </c>
      <c r="K9" t="s">
        <v>141</v>
      </c>
      <c r="L9">
        <v>1790000091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3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v>2</v>
      </c>
      <c r="AO9">
        <v>3</v>
      </c>
      <c r="AP9">
        <v>3</v>
      </c>
      <c r="AR9">
        <v>0</v>
      </c>
      <c r="AS9">
        <v>14</v>
      </c>
      <c r="AT9">
        <v>16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</row>
    <row r="10" spans="1:90" x14ac:dyDescent="0.3">
      <c r="A10">
        <v>9</v>
      </c>
      <c r="B10" t="s">
        <v>720</v>
      </c>
      <c r="C10">
        <v>19302584</v>
      </c>
      <c r="D10" t="s">
        <v>246</v>
      </c>
      <c r="E10" t="s">
        <v>721</v>
      </c>
      <c r="F10" t="s">
        <v>722</v>
      </c>
      <c r="G10" t="s">
        <v>723</v>
      </c>
      <c r="H10" s="1">
        <v>46054</v>
      </c>
      <c r="I10" t="s">
        <v>101</v>
      </c>
      <c r="J10" t="s">
        <v>102</v>
      </c>
      <c r="K10" t="s">
        <v>141</v>
      </c>
      <c r="L10">
        <v>1790000091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3</v>
      </c>
      <c r="AP10">
        <v>3</v>
      </c>
      <c r="AR10">
        <v>0</v>
      </c>
      <c r="AS10">
        <v>14</v>
      </c>
      <c r="AT10">
        <v>16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30</v>
      </c>
    </row>
    <row r="11" spans="1:90" x14ac:dyDescent="0.3">
      <c r="A11">
        <v>10</v>
      </c>
      <c r="B11" t="s">
        <v>509</v>
      </c>
      <c r="C11">
        <v>16443686</v>
      </c>
      <c r="D11" t="s">
        <v>510</v>
      </c>
      <c r="E11" t="s">
        <v>511</v>
      </c>
      <c r="F11" t="s">
        <v>512</v>
      </c>
      <c r="G11" t="s">
        <v>513</v>
      </c>
      <c r="H11" s="1">
        <v>46054</v>
      </c>
      <c r="I11" t="s">
        <v>101</v>
      </c>
      <c r="J11" t="s">
        <v>102</v>
      </c>
      <c r="K11" t="s">
        <v>141</v>
      </c>
      <c r="L11">
        <v>1790000091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3</v>
      </c>
      <c r="AP11">
        <v>3</v>
      </c>
      <c r="AR11">
        <v>0</v>
      </c>
      <c r="AS11">
        <v>14</v>
      </c>
      <c r="AT11">
        <v>16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</row>
    <row r="12" spans="1:90" x14ac:dyDescent="0.3">
      <c r="A12">
        <v>11</v>
      </c>
      <c r="B12" t="s">
        <v>313</v>
      </c>
      <c r="C12">
        <v>13327527</v>
      </c>
      <c r="D12" t="s">
        <v>314</v>
      </c>
      <c r="E12" t="s">
        <v>315</v>
      </c>
      <c r="F12" t="s">
        <v>316</v>
      </c>
      <c r="G12" t="s">
        <v>271</v>
      </c>
      <c r="H12" s="1">
        <v>46054</v>
      </c>
      <c r="I12" t="s">
        <v>101</v>
      </c>
      <c r="J12" t="s">
        <v>102</v>
      </c>
      <c r="K12" t="s">
        <v>141</v>
      </c>
      <c r="L12">
        <v>1790000091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2</v>
      </c>
      <c r="AI12">
        <v>2</v>
      </c>
      <c r="AJ12">
        <v>2</v>
      </c>
      <c r="AK12">
        <v>2</v>
      </c>
      <c r="AL12">
        <v>2</v>
      </c>
      <c r="AM12">
        <v>2</v>
      </c>
      <c r="AN12">
        <v>2</v>
      </c>
      <c r="AO12">
        <v>3</v>
      </c>
      <c r="AP12">
        <v>3</v>
      </c>
      <c r="AR12">
        <v>0</v>
      </c>
      <c r="AS12">
        <v>14</v>
      </c>
      <c r="AT12">
        <v>16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  <c r="BE12">
        <v>646000</v>
      </c>
      <c r="BF12" t="s">
        <v>317</v>
      </c>
    </row>
    <row r="13" spans="1:90" x14ac:dyDescent="0.3">
      <c r="A13">
        <v>12</v>
      </c>
      <c r="B13" t="s">
        <v>181</v>
      </c>
      <c r="C13">
        <v>10742396</v>
      </c>
      <c r="D13" t="s">
        <v>182</v>
      </c>
      <c r="E13" t="s">
        <v>183</v>
      </c>
      <c r="F13" t="s">
        <v>184</v>
      </c>
      <c r="G13" t="s">
        <v>139</v>
      </c>
      <c r="H13" s="1">
        <v>46068</v>
      </c>
      <c r="I13" t="s">
        <v>140</v>
      </c>
      <c r="J13" t="s">
        <v>102</v>
      </c>
      <c r="K13" t="s">
        <v>141</v>
      </c>
      <c r="L13">
        <v>1790000091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2</v>
      </c>
      <c r="AN13">
        <v>2</v>
      </c>
      <c r="AO13">
        <v>3</v>
      </c>
      <c r="AP13">
        <v>3</v>
      </c>
      <c r="AR13">
        <v>0</v>
      </c>
      <c r="AS13">
        <v>14</v>
      </c>
      <c r="AT13">
        <v>16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</row>
    <row r="14" spans="1:90" x14ac:dyDescent="0.3">
      <c r="A14">
        <v>13</v>
      </c>
      <c r="B14" t="s">
        <v>608</v>
      </c>
      <c r="C14">
        <v>17714007</v>
      </c>
      <c r="D14" t="s">
        <v>182</v>
      </c>
      <c r="E14" t="s">
        <v>609</v>
      </c>
      <c r="F14" t="s">
        <v>277</v>
      </c>
      <c r="G14" t="s">
        <v>233</v>
      </c>
      <c r="H14" s="1">
        <v>46068</v>
      </c>
      <c r="I14" t="s">
        <v>140</v>
      </c>
      <c r="J14" t="s">
        <v>102</v>
      </c>
      <c r="K14" t="s">
        <v>141</v>
      </c>
      <c r="L14">
        <v>1790000091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3</v>
      </c>
      <c r="AP14">
        <v>3</v>
      </c>
      <c r="AR14">
        <v>0</v>
      </c>
      <c r="AS14">
        <v>14</v>
      </c>
      <c r="AT14">
        <v>16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</row>
    <row r="15" spans="1:90" x14ac:dyDescent="0.3">
      <c r="A15">
        <v>14</v>
      </c>
      <c r="B15" t="s">
        <v>420</v>
      </c>
      <c r="C15">
        <v>15441205</v>
      </c>
      <c r="D15" t="s">
        <v>421</v>
      </c>
      <c r="E15" t="s">
        <v>422</v>
      </c>
      <c r="F15" t="s">
        <v>423</v>
      </c>
      <c r="G15" t="s">
        <v>312</v>
      </c>
      <c r="H15" s="1">
        <v>46078</v>
      </c>
      <c r="I15" t="s">
        <v>140</v>
      </c>
      <c r="J15" t="s">
        <v>102</v>
      </c>
      <c r="K15" t="s">
        <v>141</v>
      </c>
      <c r="L15">
        <v>1790000091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3</v>
      </c>
      <c r="AP15">
        <v>3</v>
      </c>
      <c r="AR15">
        <v>0</v>
      </c>
      <c r="AS15">
        <v>14</v>
      </c>
      <c r="AT15">
        <v>16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</row>
    <row r="16" spans="1:90" x14ac:dyDescent="0.3">
      <c r="A16">
        <v>15</v>
      </c>
      <c r="B16" t="s">
        <v>889</v>
      </c>
      <c r="C16">
        <v>28459164</v>
      </c>
      <c r="D16" t="s">
        <v>890</v>
      </c>
      <c r="E16" t="s">
        <v>871</v>
      </c>
      <c r="F16" t="s">
        <v>891</v>
      </c>
      <c r="G16" t="s">
        <v>139</v>
      </c>
      <c r="H16" s="1">
        <v>46096</v>
      </c>
      <c r="I16" t="s">
        <v>140</v>
      </c>
      <c r="J16" t="s">
        <v>102</v>
      </c>
      <c r="K16" t="s">
        <v>141</v>
      </c>
      <c r="L16">
        <v>1790000091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3</v>
      </c>
      <c r="AP16">
        <v>3</v>
      </c>
      <c r="AR16">
        <v>0</v>
      </c>
      <c r="AS16">
        <v>14</v>
      </c>
      <c r="AT16">
        <v>16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</row>
    <row r="17" spans="1:53" x14ac:dyDescent="0.3">
      <c r="A17">
        <v>16</v>
      </c>
      <c r="B17" t="s">
        <v>814</v>
      </c>
      <c r="C17">
        <v>20728107</v>
      </c>
      <c r="D17" t="s">
        <v>143</v>
      </c>
      <c r="E17" t="s">
        <v>815</v>
      </c>
      <c r="F17" t="s">
        <v>767</v>
      </c>
      <c r="G17" t="s">
        <v>139</v>
      </c>
      <c r="H17" s="1">
        <v>46096</v>
      </c>
      <c r="I17" t="s">
        <v>140</v>
      </c>
      <c r="J17" t="s">
        <v>102</v>
      </c>
      <c r="K17" t="s">
        <v>141</v>
      </c>
      <c r="L17">
        <v>1790000091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2</v>
      </c>
      <c r="AI17">
        <v>2</v>
      </c>
      <c r="AJ17">
        <v>2</v>
      </c>
      <c r="AK17">
        <v>2</v>
      </c>
      <c r="AL17">
        <v>2</v>
      </c>
      <c r="AM17">
        <v>2</v>
      </c>
      <c r="AN17">
        <v>2</v>
      </c>
      <c r="AO17">
        <v>3</v>
      </c>
      <c r="AP17">
        <v>3</v>
      </c>
      <c r="AR17">
        <v>0</v>
      </c>
      <c r="AS17">
        <v>14</v>
      </c>
      <c r="AT17">
        <v>16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</row>
    <row r="18" spans="1:53" x14ac:dyDescent="0.3">
      <c r="A18">
        <v>17</v>
      </c>
      <c r="B18" t="s">
        <v>135</v>
      </c>
      <c r="C18">
        <v>9809267</v>
      </c>
      <c r="D18" t="s">
        <v>136</v>
      </c>
      <c r="E18" t="s">
        <v>137</v>
      </c>
      <c r="F18" t="s">
        <v>138</v>
      </c>
      <c r="G18" t="s">
        <v>139</v>
      </c>
      <c r="H18" s="1">
        <v>46096</v>
      </c>
      <c r="I18" t="s">
        <v>140</v>
      </c>
      <c r="J18" t="s">
        <v>102</v>
      </c>
      <c r="K18" t="s">
        <v>141</v>
      </c>
      <c r="L18">
        <v>1790000091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3</v>
      </c>
      <c r="AP18">
        <v>3</v>
      </c>
      <c r="AR18">
        <v>0</v>
      </c>
      <c r="AS18">
        <v>14</v>
      </c>
      <c r="AT18">
        <v>16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30</v>
      </c>
    </row>
    <row r="19" spans="1:53" x14ac:dyDescent="0.3">
      <c r="A19">
        <v>18</v>
      </c>
      <c r="B19" t="s">
        <v>161</v>
      </c>
      <c r="C19">
        <v>10192082</v>
      </c>
      <c r="D19" t="s">
        <v>162</v>
      </c>
      <c r="E19" t="s">
        <v>137</v>
      </c>
      <c r="F19" t="s">
        <v>163</v>
      </c>
      <c r="G19" t="s">
        <v>139</v>
      </c>
      <c r="H19" s="1">
        <v>46096</v>
      </c>
      <c r="I19" t="s">
        <v>140</v>
      </c>
      <c r="J19" t="s">
        <v>102</v>
      </c>
      <c r="K19" t="s">
        <v>141</v>
      </c>
      <c r="L19">
        <v>1790000091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2</v>
      </c>
      <c r="U19">
        <v>2</v>
      </c>
      <c r="V19">
        <v>2</v>
      </c>
      <c r="W19">
        <v>2</v>
      </c>
      <c r="X19">
        <v>2</v>
      </c>
      <c r="Y19">
        <v>2</v>
      </c>
      <c r="Z19">
        <v>2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3</v>
      </c>
      <c r="AP19">
        <v>3</v>
      </c>
      <c r="AR19">
        <v>0</v>
      </c>
      <c r="AS19">
        <v>14</v>
      </c>
      <c r="AT19">
        <v>16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</row>
    <row r="20" spans="1:53" x14ac:dyDescent="0.3">
      <c r="A20">
        <v>19</v>
      </c>
      <c r="B20" t="s">
        <v>837</v>
      </c>
      <c r="C20">
        <v>21743583</v>
      </c>
      <c r="D20" t="s">
        <v>440</v>
      </c>
      <c r="E20" t="s">
        <v>838</v>
      </c>
      <c r="F20" t="s">
        <v>839</v>
      </c>
      <c r="G20" t="s">
        <v>233</v>
      </c>
      <c r="H20" s="1">
        <v>46096</v>
      </c>
      <c r="I20" t="s">
        <v>140</v>
      </c>
      <c r="J20" t="s">
        <v>102</v>
      </c>
      <c r="K20" t="s">
        <v>141</v>
      </c>
      <c r="L20">
        <v>1790000091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3</v>
      </c>
      <c r="AP20">
        <v>3</v>
      </c>
      <c r="AR20">
        <v>0</v>
      </c>
      <c r="AS20">
        <v>14</v>
      </c>
      <c r="AT20">
        <v>16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30</v>
      </c>
    </row>
    <row r="21" spans="1:53" x14ac:dyDescent="0.3">
      <c r="A21">
        <v>20</v>
      </c>
      <c r="B21" t="s">
        <v>786</v>
      </c>
      <c r="C21">
        <v>20248225</v>
      </c>
      <c r="D21" t="s">
        <v>626</v>
      </c>
      <c r="E21" t="s">
        <v>787</v>
      </c>
      <c r="F21" t="s">
        <v>788</v>
      </c>
      <c r="G21" t="s">
        <v>139</v>
      </c>
      <c r="H21" s="1">
        <v>46096</v>
      </c>
      <c r="I21" t="s">
        <v>140</v>
      </c>
      <c r="J21" t="s">
        <v>102</v>
      </c>
      <c r="K21" t="s">
        <v>141</v>
      </c>
      <c r="L21">
        <v>1790000091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3</v>
      </c>
      <c r="AP21">
        <v>3</v>
      </c>
      <c r="AR21">
        <v>0</v>
      </c>
      <c r="AS21">
        <v>14</v>
      </c>
      <c r="AT21">
        <v>16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30</v>
      </c>
    </row>
    <row r="22" spans="1:53" x14ac:dyDescent="0.3">
      <c r="A22">
        <v>21</v>
      </c>
      <c r="B22" t="s">
        <v>544</v>
      </c>
      <c r="C22">
        <v>17112456</v>
      </c>
      <c r="D22" t="s">
        <v>230</v>
      </c>
      <c r="E22" t="s">
        <v>545</v>
      </c>
      <c r="F22" t="s">
        <v>546</v>
      </c>
      <c r="G22" t="s">
        <v>356</v>
      </c>
      <c r="H22" s="1">
        <v>46096</v>
      </c>
      <c r="I22" t="s">
        <v>140</v>
      </c>
      <c r="J22" t="s">
        <v>102</v>
      </c>
      <c r="K22" t="s">
        <v>141</v>
      </c>
      <c r="L22">
        <v>1790000091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3</v>
      </c>
      <c r="AP22">
        <v>3</v>
      </c>
      <c r="AR22">
        <v>0</v>
      </c>
      <c r="AS22">
        <v>14</v>
      </c>
      <c r="AT22">
        <v>16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30</v>
      </c>
    </row>
    <row r="23" spans="1:53" x14ac:dyDescent="0.3">
      <c r="A23">
        <v>22</v>
      </c>
      <c r="B23" t="s">
        <v>789</v>
      </c>
      <c r="C23">
        <v>20262451</v>
      </c>
      <c r="D23" t="s">
        <v>215</v>
      </c>
      <c r="E23" t="s">
        <v>790</v>
      </c>
      <c r="F23" t="s">
        <v>791</v>
      </c>
      <c r="G23" t="s">
        <v>472</v>
      </c>
      <c r="H23" s="1">
        <v>46096</v>
      </c>
      <c r="I23" t="s">
        <v>140</v>
      </c>
      <c r="J23" t="s">
        <v>102</v>
      </c>
      <c r="K23" t="s">
        <v>141</v>
      </c>
      <c r="L23">
        <v>1790000091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2</v>
      </c>
      <c r="AI23">
        <v>2</v>
      </c>
      <c r="AJ23">
        <v>2</v>
      </c>
      <c r="AK23">
        <v>2</v>
      </c>
      <c r="AL23">
        <v>2</v>
      </c>
      <c r="AM23">
        <v>2</v>
      </c>
      <c r="AN23">
        <v>2</v>
      </c>
      <c r="AO23">
        <v>3</v>
      </c>
      <c r="AP23">
        <v>3</v>
      </c>
      <c r="AR23">
        <v>0</v>
      </c>
      <c r="AS23">
        <v>14</v>
      </c>
      <c r="AT23">
        <v>16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</row>
    <row r="24" spans="1:53" x14ac:dyDescent="0.3">
      <c r="A24">
        <v>23</v>
      </c>
      <c r="B24" t="s">
        <v>688</v>
      </c>
      <c r="C24">
        <v>18984688</v>
      </c>
      <c r="D24" t="s">
        <v>157</v>
      </c>
      <c r="E24" t="s">
        <v>246</v>
      </c>
      <c r="F24" t="s">
        <v>689</v>
      </c>
      <c r="G24" t="s">
        <v>233</v>
      </c>
      <c r="H24" s="1">
        <v>46096</v>
      </c>
      <c r="I24" t="s">
        <v>140</v>
      </c>
      <c r="J24" t="s">
        <v>102</v>
      </c>
      <c r="K24" t="s">
        <v>141</v>
      </c>
      <c r="L24">
        <v>1790000091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2</v>
      </c>
      <c r="U24">
        <v>2</v>
      </c>
      <c r="V24">
        <v>2</v>
      </c>
      <c r="W24">
        <v>2</v>
      </c>
      <c r="X24">
        <v>2</v>
      </c>
      <c r="Y24">
        <v>2</v>
      </c>
      <c r="Z24">
        <v>2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2</v>
      </c>
      <c r="AI24">
        <v>2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3</v>
      </c>
      <c r="AP24">
        <v>3</v>
      </c>
      <c r="AR24">
        <v>0</v>
      </c>
      <c r="AS24">
        <v>14</v>
      </c>
      <c r="AT24">
        <v>16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30</v>
      </c>
    </row>
    <row r="25" spans="1:53" x14ac:dyDescent="0.3">
      <c r="A25">
        <v>24</v>
      </c>
      <c r="B25" t="s">
        <v>797</v>
      </c>
      <c r="C25">
        <v>20400413</v>
      </c>
      <c r="D25" t="s">
        <v>798</v>
      </c>
      <c r="E25" t="s">
        <v>799</v>
      </c>
      <c r="F25" t="s">
        <v>800</v>
      </c>
      <c r="G25" t="s">
        <v>139</v>
      </c>
      <c r="H25" s="1">
        <v>46096</v>
      </c>
      <c r="I25" t="s">
        <v>140</v>
      </c>
      <c r="J25" t="s">
        <v>102</v>
      </c>
      <c r="K25" t="s">
        <v>141</v>
      </c>
      <c r="L25">
        <v>1790000091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3</v>
      </c>
      <c r="AP25">
        <v>3</v>
      </c>
      <c r="AR25">
        <v>0</v>
      </c>
      <c r="AS25">
        <v>14</v>
      </c>
      <c r="AT25">
        <v>16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</row>
    <row r="26" spans="1:53" x14ac:dyDescent="0.3">
      <c r="A26">
        <v>25</v>
      </c>
      <c r="B26" t="s">
        <v>244</v>
      </c>
      <c r="C26">
        <v>12443848</v>
      </c>
      <c r="D26" t="s">
        <v>245</v>
      </c>
      <c r="E26" t="s">
        <v>246</v>
      </c>
      <c r="F26" t="s">
        <v>247</v>
      </c>
      <c r="G26" t="s">
        <v>139</v>
      </c>
      <c r="H26" s="1">
        <v>46096</v>
      </c>
      <c r="I26" t="s">
        <v>140</v>
      </c>
      <c r="J26" t="s">
        <v>102</v>
      </c>
      <c r="K26" t="s">
        <v>141</v>
      </c>
      <c r="L26">
        <v>1790000091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3</v>
      </c>
      <c r="AP26">
        <v>3</v>
      </c>
      <c r="AR26">
        <v>0</v>
      </c>
      <c r="AS26">
        <v>14</v>
      </c>
      <c r="AT26">
        <v>16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</row>
    <row r="27" spans="1:53" x14ac:dyDescent="0.3">
      <c r="A27">
        <v>26</v>
      </c>
      <c r="B27" t="s">
        <v>354</v>
      </c>
      <c r="C27">
        <v>13976656</v>
      </c>
      <c r="D27" t="s">
        <v>143</v>
      </c>
      <c r="E27" t="s">
        <v>230</v>
      </c>
      <c r="F27" t="s">
        <v>355</v>
      </c>
      <c r="G27" t="s">
        <v>356</v>
      </c>
      <c r="H27" s="1">
        <v>46099</v>
      </c>
      <c r="I27" t="s">
        <v>140</v>
      </c>
      <c r="J27" t="s">
        <v>102</v>
      </c>
      <c r="K27" t="s">
        <v>141</v>
      </c>
      <c r="L27">
        <v>1790000091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2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3</v>
      </c>
      <c r="AP27">
        <v>3</v>
      </c>
      <c r="AR27">
        <v>0</v>
      </c>
      <c r="AS27">
        <v>14</v>
      </c>
      <c r="AT27">
        <v>16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</row>
    <row r="28" spans="1:53" x14ac:dyDescent="0.3">
      <c r="A28">
        <v>27</v>
      </c>
      <c r="B28" t="s">
        <v>490</v>
      </c>
      <c r="C28">
        <v>16109258</v>
      </c>
      <c r="D28" t="s">
        <v>491</v>
      </c>
      <c r="E28" t="s">
        <v>492</v>
      </c>
      <c r="F28" t="s">
        <v>493</v>
      </c>
      <c r="G28" t="s">
        <v>139</v>
      </c>
      <c r="H28" s="1">
        <v>46096</v>
      </c>
      <c r="I28" t="s">
        <v>140</v>
      </c>
      <c r="J28" t="s">
        <v>102</v>
      </c>
      <c r="K28" t="s">
        <v>141</v>
      </c>
      <c r="L28">
        <v>1790000091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3</v>
      </c>
      <c r="AP28">
        <v>3</v>
      </c>
      <c r="AR28">
        <v>0</v>
      </c>
      <c r="AS28">
        <v>14</v>
      </c>
      <c r="AT28">
        <v>16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30</v>
      </c>
    </row>
    <row r="29" spans="1:53" x14ac:dyDescent="0.3">
      <c r="A29">
        <v>28</v>
      </c>
      <c r="B29" t="s">
        <v>710</v>
      </c>
      <c r="C29">
        <v>19206550</v>
      </c>
      <c r="D29" t="s">
        <v>711</v>
      </c>
      <c r="E29" t="s">
        <v>714</v>
      </c>
      <c r="F29" t="s">
        <v>715</v>
      </c>
      <c r="G29" t="s">
        <v>426</v>
      </c>
      <c r="H29" s="1">
        <v>46113</v>
      </c>
      <c r="I29" t="s">
        <v>101</v>
      </c>
      <c r="J29" t="s">
        <v>102</v>
      </c>
      <c r="K29" t="s">
        <v>141</v>
      </c>
      <c r="L29">
        <v>1790000091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3</v>
      </c>
      <c r="AP29">
        <v>3</v>
      </c>
      <c r="AR29">
        <v>0</v>
      </c>
      <c r="AS29">
        <v>14</v>
      </c>
      <c r="AT29">
        <v>16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18AE-0A70-47A4-9FFA-A34ABECE347F}">
  <dimension ref="A1:CL101"/>
  <sheetViews>
    <sheetView workbookViewId="0"/>
  </sheetViews>
  <sheetFormatPr baseColWidth="10" defaultColWidth="11.44140625" defaultRowHeight="14.4" x14ac:dyDescent="0.3"/>
  <cols>
    <col min="1" max="1" width="5.44140625" bestFit="1" customWidth="1"/>
    <col min="2" max="2" width="26.109375" bestFit="1" customWidth="1"/>
    <col min="3" max="3" width="43.44140625" bestFit="1" customWidth="1"/>
    <col min="4" max="4" width="19.6640625" bestFit="1" customWidth="1"/>
    <col min="5" max="5" width="20" bestFit="1" customWidth="1"/>
    <col min="6" max="6" width="21" bestFit="1" customWidth="1"/>
    <col min="7" max="7" width="36.88671875" bestFit="1" customWidth="1"/>
    <col min="8" max="8" width="21" bestFit="1" customWidth="1"/>
    <col min="9" max="9" width="5.6640625" bestFit="1" customWidth="1"/>
    <col min="10" max="10" width="13.6640625" bestFit="1" customWidth="1"/>
    <col min="11" max="11" width="28.33203125" bestFit="1" customWidth="1"/>
    <col min="12" max="12" width="11" bestFit="1" customWidth="1"/>
    <col min="13" max="21" width="4.33203125" bestFit="1" customWidth="1"/>
    <col min="22" max="43" width="5.33203125" bestFit="1" customWidth="1"/>
    <col min="44" max="52" width="5.5546875" bestFit="1" customWidth="1"/>
    <col min="53" max="53" width="7.88671875" bestFit="1" customWidth="1"/>
    <col min="54" max="54" width="26.33203125" bestFit="1" customWidth="1"/>
    <col min="55" max="55" width="33.6640625" bestFit="1" customWidth="1"/>
    <col min="56" max="56" width="80.33203125" bestFit="1" customWidth="1"/>
    <col min="57" max="57" width="27.33203125" bestFit="1" customWidth="1"/>
    <col min="58" max="58" width="39.44140625" bestFit="1" customWidth="1"/>
    <col min="59" max="59" width="27.88671875" bestFit="1" customWidth="1"/>
    <col min="60" max="60" width="38.5546875" bestFit="1" customWidth="1"/>
    <col min="61" max="61" width="49.33203125" bestFit="1" customWidth="1"/>
    <col min="62" max="62" width="59.6640625" bestFit="1" customWidth="1"/>
    <col min="63" max="63" width="24.33203125" bestFit="1" customWidth="1"/>
    <col min="64" max="64" width="50.6640625" bestFit="1" customWidth="1"/>
    <col min="65" max="65" width="27.5546875" bestFit="1" customWidth="1"/>
    <col min="66" max="66" width="27.6640625" bestFit="1" customWidth="1"/>
    <col min="67" max="67" width="18.6640625" bestFit="1" customWidth="1"/>
    <col min="68" max="68" width="43.109375" bestFit="1" customWidth="1"/>
    <col min="69" max="69" width="28.5546875" bestFit="1" customWidth="1"/>
    <col min="70" max="73" width="28.88671875" bestFit="1" customWidth="1"/>
    <col min="74" max="74" width="29.88671875" bestFit="1" customWidth="1"/>
    <col min="75" max="75" width="24.6640625" bestFit="1" customWidth="1"/>
    <col min="76" max="76" width="31" bestFit="1" customWidth="1"/>
    <col min="77" max="77" width="29.33203125" bestFit="1" customWidth="1"/>
    <col min="78" max="78" width="35.5546875" bestFit="1" customWidth="1"/>
    <col min="79" max="79" width="15.109375" bestFit="1" customWidth="1"/>
    <col min="80" max="80" width="20" bestFit="1" customWidth="1"/>
    <col min="81" max="81" width="37.33203125" bestFit="1" customWidth="1"/>
    <col min="82" max="82" width="45.44140625" bestFit="1" customWidth="1"/>
    <col min="83" max="83" width="25.33203125" bestFit="1" customWidth="1"/>
    <col min="84" max="84" width="34.109375" bestFit="1" customWidth="1"/>
    <col min="85" max="85" width="29.88671875" bestFit="1" customWidth="1"/>
    <col min="86" max="86" width="24.109375" bestFit="1" customWidth="1"/>
    <col min="87" max="87" width="35.5546875" bestFit="1" customWidth="1"/>
    <col min="88" max="88" width="49.33203125" bestFit="1" customWidth="1"/>
    <col min="89" max="89" width="32.6640625" bestFit="1" customWidth="1"/>
    <col min="90" max="90" width="29.109375" bestFit="1" customWidth="1"/>
  </cols>
  <sheetData>
    <row r="1" spans="1:90" x14ac:dyDescent="0.3">
      <c r="A1" t="s">
        <v>951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952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">
      <c r="A2">
        <v>1</v>
      </c>
      <c r="B2" t="s">
        <v>374</v>
      </c>
      <c r="C2">
        <v>14309302</v>
      </c>
      <c r="D2" t="s">
        <v>226</v>
      </c>
      <c r="E2" t="s">
        <v>375</v>
      </c>
      <c r="F2" t="s">
        <v>376</v>
      </c>
      <c r="G2" t="s">
        <v>126</v>
      </c>
      <c r="H2" s="1">
        <v>46031</v>
      </c>
      <c r="I2" t="s">
        <v>101</v>
      </c>
      <c r="J2" t="s">
        <v>102</v>
      </c>
      <c r="K2" t="s">
        <v>279</v>
      </c>
      <c r="L2">
        <v>1790000090</v>
      </c>
      <c r="M2">
        <v>2</v>
      </c>
      <c r="N2">
        <v>2</v>
      </c>
      <c r="O2">
        <v>3</v>
      </c>
      <c r="P2">
        <v>3</v>
      </c>
      <c r="Q2">
        <v>3</v>
      </c>
      <c r="R2">
        <v>2</v>
      </c>
      <c r="S2">
        <v>2</v>
      </c>
      <c r="T2">
        <v>2</v>
      </c>
      <c r="U2">
        <v>2</v>
      </c>
      <c r="V2">
        <v>3</v>
      </c>
      <c r="W2">
        <v>3</v>
      </c>
      <c r="X2">
        <v>3</v>
      </c>
      <c r="Y2">
        <v>3</v>
      </c>
      <c r="Z2">
        <v>3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3</v>
      </c>
      <c r="AP2">
        <v>3</v>
      </c>
      <c r="AR2">
        <v>0</v>
      </c>
      <c r="AS2">
        <v>20</v>
      </c>
      <c r="AT2">
        <v>10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30</v>
      </c>
      <c r="BC2">
        <v>674400</v>
      </c>
      <c r="BD2" t="s">
        <v>148</v>
      </c>
      <c r="BK2">
        <v>168600</v>
      </c>
      <c r="BL2" t="s">
        <v>377</v>
      </c>
      <c r="BP2">
        <v>75000</v>
      </c>
      <c r="CI2">
        <v>473333</v>
      </c>
    </row>
    <row r="3" spans="1:90" x14ac:dyDescent="0.3">
      <c r="A3">
        <v>2</v>
      </c>
      <c r="B3" t="s">
        <v>621</v>
      </c>
      <c r="C3">
        <v>18008213</v>
      </c>
      <c r="D3" t="s">
        <v>622</v>
      </c>
      <c r="E3" t="s">
        <v>623</v>
      </c>
      <c r="F3" t="s">
        <v>624</v>
      </c>
      <c r="G3" t="s">
        <v>289</v>
      </c>
      <c r="H3" s="1">
        <v>45962</v>
      </c>
      <c r="I3" t="s">
        <v>101</v>
      </c>
      <c r="J3" t="s">
        <v>102</v>
      </c>
      <c r="K3" t="s">
        <v>272</v>
      </c>
      <c r="L3">
        <v>1790000090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3</v>
      </c>
      <c r="AO3">
        <v>3</v>
      </c>
      <c r="AP3">
        <v>3</v>
      </c>
      <c r="AR3">
        <v>0</v>
      </c>
      <c r="AS3">
        <v>14</v>
      </c>
      <c r="AT3">
        <v>16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30</v>
      </c>
      <c r="BC3">
        <v>598333</v>
      </c>
      <c r="BD3" t="s">
        <v>148</v>
      </c>
      <c r="BE3">
        <v>1350000</v>
      </c>
      <c r="BF3" t="s">
        <v>273</v>
      </c>
      <c r="BK3">
        <v>359000</v>
      </c>
      <c r="BL3" t="s">
        <v>218</v>
      </c>
      <c r="CI3">
        <v>473333</v>
      </c>
    </row>
    <row r="4" spans="1:90" x14ac:dyDescent="0.3">
      <c r="A4">
        <v>3</v>
      </c>
      <c r="B4" t="s">
        <v>214</v>
      </c>
      <c r="C4">
        <v>11820207</v>
      </c>
      <c r="D4" t="s">
        <v>215</v>
      </c>
      <c r="E4" t="s">
        <v>216</v>
      </c>
      <c r="F4" t="s">
        <v>217</v>
      </c>
      <c r="G4" t="s">
        <v>189</v>
      </c>
      <c r="H4" s="1">
        <v>46092</v>
      </c>
      <c r="I4" t="s">
        <v>140</v>
      </c>
      <c r="J4" t="s">
        <v>102</v>
      </c>
      <c r="K4" t="s">
        <v>147</v>
      </c>
      <c r="L4">
        <v>1790000090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R4">
        <v>0</v>
      </c>
      <c r="AS4">
        <v>14</v>
      </c>
      <c r="AT4">
        <v>16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30</v>
      </c>
      <c r="BC4">
        <v>266667</v>
      </c>
      <c r="BD4" t="s">
        <v>148</v>
      </c>
      <c r="BK4">
        <v>160000</v>
      </c>
      <c r="BL4" t="s">
        <v>218</v>
      </c>
      <c r="BP4">
        <v>75000</v>
      </c>
      <c r="CI4">
        <v>157778</v>
      </c>
    </row>
    <row r="5" spans="1:90" x14ac:dyDescent="0.3">
      <c r="A5">
        <v>4</v>
      </c>
      <c r="B5" t="s">
        <v>610</v>
      </c>
      <c r="C5">
        <v>17722078</v>
      </c>
      <c r="D5" t="s">
        <v>296</v>
      </c>
      <c r="E5" t="s">
        <v>611</v>
      </c>
      <c r="F5" t="s">
        <v>612</v>
      </c>
      <c r="G5" t="s">
        <v>153</v>
      </c>
      <c r="H5" s="1">
        <v>45967</v>
      </c>
      <c r="I5" t="s">
        <v>101</v>
      </c>
      <c r="J5" t="s">
        <v>102</v>
      </c>
      <c r="K5" t="s">
        <v>272</v>
      </c>
      <c r="L5">
        <v>1790000090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R5">
        <v>0</v>
      </c>
      <c r="AS5">
        <v>14</v>
      </c>
      <c r="AT5">
        <v>16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30</v>
      </c>
      <c r="BC5">
        <v>427500</v>
      </c>
      <c r="BD5" t="s">
        <v>148</v>
      </c>
      <c r="BK5">
        <v>256500</v>
      </c>
      <c r="BL5" t="s">
        <v>218</v>
      </c>
      <c r="CI5">
        <v>473333</v>
      </c>
    </row>
    <row r="6" spans="1:90" x14ac:dyDescent="0.3">
      <c r="A6">
        <v>5</v>
      </c>
      <c r="B6" t="s">
        <v>268</v>
      </c>
      <c r="C6">
        <v>12943659</v>
      </c>
      <c r="D6" t="s">
        <v>269</v>
      </c>
      <c r="E6" t="s">
        <v>269</v>
      </c>
      <c r="F6" t="s">
        <v>270</v>
      </c>
      <c r="G6" t="s">
        <v>271</v>
      </c>
      <c r="H6" s="1">
        <v>45992</v>
      </c>
      <c r="I6" t="s">
        <v>101</v>
      </c>
      <c r="J6" t="s">
        <v>102</v>
      </c>
      <c r="K6" t="s">
        <v>272</v>
      </c>
      <c r="L6">
        <v>1790000090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R6">
        <v>0</v>
      </c>
      <c r="AS6">
        <v>14</v>
      </c>
      <c r="AT6">
        <v>16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30</v>
      </c>
      <c r="BC6">
        <v>428833</v>
      </c>
      <c r="BD6" t="s">
        <v>148</v>
      </c>
      <c r="BE6">
        <v>860000</v>
      </c>
      <c r="BF6" t="s">
        <v>273</v>
      </c>
      <c r="BK6">
        <v>257300</v>
      </c>
      <c r="BL6" t="s">
        <v>218</v>
      </c>
      <c r="CE6">
        <v>77281</v>
      </c>
      <c r="CI6">
        <v>473333</v>
      </c>
    </row>
    <row r="7" spans="1:90" x14ac:dyDescent="0.3">
      <c r="A7">
        <v>6</v>
      </c>
      <c r="B7" t="s">
        <v>391</v>
      </c>
      <c r="C7">
        <v>15033526</v>
      </c>
      <c r="D7" t="s">
        <v>392</v>
      </c>
      <c r="E7" t="s">
        <v>393</v>
      </c>
      <c r="F7" t="s">
        <v>394</v>
      </c>
      <c r="G7" t="s">
        <v>189</v>
      </c>
      <c r="H7" s="1">
        <v>46056</v>
      </c>
      <c r="I7" t="s">
        <v>140</v>
      </c>
      <c r="J7" t="s">
        <v>102</v>
      </c>
      <c r="K7" t="s">
        <v>147</v>
      </c>
      <c r="L7">
        <v>1790000090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R7">
        <v>0</v>
      </c>
      <c r="AS7">
        <v>14</v>
      </c>
      <c r="AT7">
        <v>16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30</v>
      </c>
      <c r="BC7">
        <v>266667</v>
      </c>
      <c r="BD7" t="s">
        <v>148</v>
      </c>
      <c r="BK7">
        <v>160000</v>
      </c>
      <c r="BL7" t="s">
        <v>218</v>
      </c>
      <c r="BP7">
        <v>75000</v>
      </c>
      <c r="CI7">
        <v>315556</v>
      </c>
    </row>
    <row r="8" spans="1:90" x14ac:dyDescent="0.3">
      <c r="A8">
        <v>7</v>
      </c>
      <c r="B8" t="s">
        <v>881</v>
      </c>
      <c r="C8">
        <v>27928346</v>
      </c>
      <c r="D8" t="s">
        <v>882</v>
      </c>
      <c r="E8" t="s">
        <v>883</v>
      </c>
      <c r="F8" t="s">
        <v>884</v>
      </c>
      <c r="G8" t="s">
        <v>745</v>
      </c>
      <c r="H8" s="1">
        <v>46113</v>
      </c>
      <c r="I8" t="s">
        <v>101</v>
      </c>
      <c r="J8" t="s">
        <v>253</v>
      </c>
      <c r="K8" t="s">
        <v>147</v>
      </c>
      <c r="L8">
        <v>1790000090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R8">
        <v>7</v>
      </c>
      <c r="AS8">
        <v>14</v>
      </c>
      <c r="AT8">
        <v>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30</v>
      </c>
      <c r="BC8">
        <v>343333</v>
      </c>
      <c r="BD8" t="s">
        <v>148</v>
      </c>
      <c r="BE8">
        <v>270000</v>
      </c>
      <c r="BF8" t="s">
        <v>273</v>
      </c>
      <c r="BK8">
        <v>68667</v>
      </c>
      <c r="BL8" t="s">
        <v>885</v>
      </c>
      <c r="CI8">
        <v>157778</v>
      </c>
    </row>
    <row r="9" spans="1:90" x14ac:dyDescent="0.3">
      <c r="A9">
        <v>8</v>
      </c>
      <c r="B9" t="s">
        <v>734</v>
      </c>
      <c r="C9">
        <v>19507107</v>
      </c>
      <c r="D9" t="s">
        <v>143</v>
      </c>
      <c r="E9" t="s">
        <v>150</v>
      </c>
      <c r="F9" t="s">
        <v>735</v>
      </c>
      <c r="G9" t="s">
        <v>160</v>
      </c>
      <c r="H9" s="1">
        <v>46003</v>
      </c>
      <c r="I9" t="s">
        <v>140</v>
      </c>
      <c r="J9" t="s">
        <v>102</v>
      </c>
      <c r="K9" t="s">
        <v>147</v>
      </c>
      <c r="L9">
        <v>1790000090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R9">
        <v>0</v>
      </c>
      <c r="AS9">
        <v>14</v>
      </c>
      <c r="AT9">
        <v>16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30</v>
      </c>
      <c r="BC9">
        <v>130833</v>
      </c>
      <c r="BD9" t="s">
        <v>148</v>
      </c>
      <c r="BK9">
        <v>150000</v>
      </c>
      <c r="BL9" t="s">
        <v>736</v>
      </c>
      <c r="BP9">
        <v>75000</v>
      </c>
      <c r="CI9">
        <v>473333</v>
      </c>
      <c r="CJ9">
        <v>213354</v>
      </c>
    </row>
    <row r="10" spans="1:90" x14ac:dyDescent="0.3">
      <c r="A10">
        <v>9</v>
      </c>
      <c r="B10" t="s">
        <v>378</v>
      </c>
      <c r="C10">
        <v>14456911</v>
      </c>
      <c r="D10" t="s">
        <v>379</v>
      </c>
      <c r="E10" t="s">
        <v>380</v>
      </c>
      <c r="F10" t="s">
        <v>381</v>
      </c>
      <c r="G10" t="s">
        <v>126</v>
      </c>
      <c r="H10" s="1">
        <v>45992</v>
      </c>
      <c r="I10" t="s">
        <v>101</v>
      </c>
      <c r="J10" t="s">
        <v>102</v>
      </c>
      <c r="K10" t="s">
        <v>196</v>
      </c>
      <c r="L10">
        <v>1790000090</v>
      </c>
      <c r="M10">
        <v>2</v>
      </c>
      <c r="N10">
        <v>2</v>
      </c>
      <c r="O10">
        <v>3</v>
      </c>
      <c r="P10">
        <v>3</v>
      </c>
      <c r="Q10">
        <v>3</v>
      </c>
      <c r="R10">
        <v>2</v>
      </c>
      <c r="S10">
        <v>2</v>
      </c>
      <c r="T10">
        <v>2</v>
      </c>
      <c r="U10">
        <v>2</v>
      </c>
      <c r="V10">
        <v>3</v>
      </c>
      <c r="W10">
        <v>3</v>
      </c>
      <c r="X10">
        <v>3</v>
      </c>
      <c r="Y10">
        <v>2</v>
      </c>
      <c r="Z10">
        <v>2</v>
      </c>
      <c r="AA10">
        <v>2</v>
      </c>
      <c r="AB10">
        <v>2</v>
      </c>
      <c r="AC10">
        <v>3</v>
      </c>
      <c r="AD10">
        <v>3</v>
      </c>
      <c r="AE10">
        <v>3</v>
      </c>
      <c r="AF10">
        <v>2</v>
      </c>
      <c r="AG10">
        <v>2</v>
      </c>
      <c r="AH10">
        <v>2</v>
      </c>
      <c r="AI10">
        <v>2</v>
      </c>
      <c r="AJ10">
        <v>3</v>
      </c>
      <c r="AK10">
        <v>3</v>
      </c>
      <c r="AL10">
        <v>3</v>
      </c>
      <c r="AR10">
        <v>0</v>
      </c>
      <c r="AS10">
        <v>14</v>
      </c>
      <c r="AT10">
        <v>12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26</v>
      </c>
      <c r="BW10">
        <v>110000</v>
      </c>
      <c r="BX10" t="s">
        <v>382</v>
      </c>
    </row>
    <row r="11" spans="1:90" x14ac:dyDescent="0.3">
      <c r="A11">
        <v>10</v>
      </c>
      <c r="B11" t="s">
        <v>469</v>
      </c>
      <c r="C11">
        <v>15975698</v>
      </c>
      <c r="D11" t="s">
        <v>379</v>
      </c>
      <c r="E11" t="s">
        <v>470</v>
      </c>
      <c r="F11" t="s">
        <v>471</v>
      </c>
      <c r="G11" t="s">
        <v>472</v>
      </c>
      <c r="H11" s="1">
        <v>46003</v>
      </c>
      <c r="I11" t="s">
        <v>101</v>
      </c>
      <c r="J11" t="s">
        <v>102</v>
      </c>
      <c r="K11" t="s">
        <v>147</v>
      </c>
      <c r="L11">
        <v>1790000090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R11">
        <v>0</v>
      </c>
      <c r="AS11">
        <v>14</v>
      </c>
      <c r="AT11">
        <v>16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30</v>
      </c>
      <c r="BC11">
        <v>182167</v>
      </c>
      <c r="BD11" t="s">
        <v>148</v>
      </c>
      <c r="BP11">
        <v>75000</v>
      </c>
      <c r="CI11">
        <v>473333</v>
      </c>
    </row>
    <row r="12" spans="1:90" x14ac:dyDescent="0.3">
      <c r="A12">
        <v>11</v>
      </c>
      <c r="B12" t="s">
        <v>427</v>
      </c>
      <c r="C12">
        <v>15494242</v>
      </c>
      <c r="D12" t="s">
        <v>428</v>
      </c>
      <c r="E12" t="s">
        <v>296</v>
      </c>
      <c r="F12" t="s">
        <v>429</v>
      </c>
      <c r="G12" t="s">
        <v>146</v>
      </c>
      <c r="H12" s="1">
        <v>45997</v>
      </c>
      <c r="I12" t="s">
        <v>140</v>
      </c>
      <c r="J12" t="s">
        <v>102</v>
      </c>
      <c r="K12" t="s">
        <v>272</v>
      </c>
      <c r="L12">
        <v>1790000090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R12">
        <v>0</v>
      </c>
      <c r="AS12">
        <v>14</v>
      </c>
      <c r="AT12">
        <v>16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30</v>
      </c>
      <c r="BC12">
        <v>235333</v>
      </c>
      <c r="BD12" t="s">
        <v>148</v>
      </c>
      <c r="BP12">
        <v>75000</v>
      </c>
      <c r="CI12">
        <v>473333</v>
      </c>
    </row>
    <row r="13" spans="1:90" x14ac:dyDescent="0.3">
      <c r="A13">
        <v>12</v>
      </c>
      <c r="B13" t="s">
        <v>809</v>
      </c>
      <c r="C13">
        <v>20601023</v>
      </c>
      <c r="D13" t="s">
        <v>336</v>
      </c>
      <c r="E13" t="s">
        <v>470</v>
      </c>
      <c r="F13" t="s">
        <v>810</v>
      </c>
      <c r="G13" t="s">
        <v>312</v>
      </c>
      <c r="H13" s="1">
        <v>46003</v>
      </c>
      <c r="I13" t="s">
        <v>140</v>
      </c>
      <c r="J13" t="s">
        <v>102</v>
      </c>
      <c r="K13" t="s">
        <v>147</v>
      </c>
      <c r="L13">
        <v>1790000090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  <c r="AR13">
        <v>0</v>
      </c>
      <c r="AS13">
        <v>14</v>
      </c>
      <c r="AT13">
        <v>16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30</v>
      </c>
      <c r="BC13">
        <v>235333</v>
      </c>
      <c r="BD13" t="s">
        <v>148</v>
      </c>
      <c r="BP13">
        <v>75000</v>
      </c>
      <c r="CI13">
        <v>473333</v>
      </c>
    </row>
    <row r="14" spans="1:90" x14ac:dyDescent="0.3">
      <c r="A14">
        <v>13</v>
      </c>
      <c r="B14" t="s">
        <v>818</v>
      </c>
      <c r="C14">
        <v>20945942</v>
      </c>
      <c r="D14" t="s">
        <v>182</v>
      </c>
      <c r="E14" t="s">
        <v>132</v>
      </c>
      <c r="F14" t="s">
        <v>819</v>
      </c>
      <c r="G14" t="s">
        <v>233</v>
      </c>
      <c r="H14" s="1">
        <v>46023</v>
      </c>
      <c r="I14" t="s">
        <v>140</v>
      </c>
      <c r="J14" t="s">
        <v>102</v>
      </c>
      <c r="K14" t="s">
        <v>208</v>
      </c>
      <c r="L14">
        <v>1790000090</v>
      </c>
      <c r="M14">
        <v>2</v>
      </c>
      <c r="N14">
        <v>2</v>
      </c>
      <c r="O14">
        <v>8</v>
      </c>
      <c r="P14">
        <v>8</v>
      </c>
      <c r="Q14">
        <v>2</v>
      </c>
      <c r="R14">
        <v>2</v>
      </c>
      <c r="S14">
        <v>2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R14">
        <v>0</v>
      </c>
      <c r="AS14">
        <v>14</v>
      </c>
      <c r="AT14">
        <v>14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30</v>
      </c>
      <c r="BM14">
        <v>2</v>
      </c>
      <c r="BN14">
        <v>180000</v>
      </c>
      <c r="BP14">
        <v>75000</v>
      </c>
      <c r="CI14">
        <v>473333</v>
      </c>
      <c r="CK14">
        <v>810000</v>
      </c>
      <c r="CL14">
        <v>100000</v>
      </c>
    </row>
    <row r="15" spans="1:90" x14ac:dyDescent="0.3">
      <c r="A15">
        <v>14</v>
      </c>
      <c r="B15" t="s">
        <v>632</v>
      </c>
      <c r="C15">
        <v>18182792</v>
      </c>
      <c r="D15" t="s">
        <v>633</v>
      </c>
      <c r="E15" t="s">
        <v>634</v>
      </c>
      <c r="F15" t="s">
        <v>635</v>
      </c>
      <c r="G15" t="s">
        <v>160</v>
      </c>
      <c r="H15" s="1">
        <v>46023</v>
      </c>
      <c r="I15" t="s">
        <v>140</v>
      </c>
      <c r="J15" t="s">
        <v>102</v>
      </c>
      <c r="K15" t="s">
        <v>272</v>
      </c>
      <c r="L15">
        <v>1790000090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R15">
        <v>0</v>
      </c>
      <c r="AS15">
        <v>14</v>
      </c>
      <c r="AT15">
        <v>16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30</v>
      </c>
      <c r="BC15">
        <v>130833</v>
      </c>
      <c r="BD15" t="s">
        <v>148</v>
      </c>
      <c r="BP15">
        <v>75000</v>
      </c>
      <c r="CI15">
        <v>473333</v>
      </c>
      <c r="CJ15">
        <v>213354</v>
      </c>
    </row>
    <row r="16" spans="1:90" x14ac:dyDescent="0.3">
      <c r="A16">
        <v>15</v>
      </c>
      <c r="B16" t="s">
        <v>142</v>
      </c>
      <c r="C16">
        <v>9850740</v>
      </c>
      <c r="D16" t="s">
        <v>143</v>
      </c>
      <c r="E16" t="s">
        <v>144</v>
      </c>
      <c r="F16" t="s">
        <v>145</v>
      </c>
      <c r="G16" t="s">
        <v>146</v>
      </c>
      <c r="H16" s="1">
        <v>45992</v>
      </c>
      <c r="I16" t="s">
        <v>140</v>
      </c>
      <c r="J16" t="s">
        <v>102</v>
      </c>
      <c r="K16" t="s">
        <v>147</v>
      </c>
      <c r="L16">
        <v>1790000090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R16">
        <v>0</v>
      </c>
      <c r="AS16">
        <v>14</v>
      </c>
      <c r="AT16">
        <v>16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30</v>
      </c>
      <c r="BC16">
        <v>235333</v>
      </c>
      <c r="BD16" t="s">
        <v>148</v>
      </c>
      <c r="BP16">
        <v>75000</v>
      </c>
      <c r="CI16">
        <v>473333</v>
      </c>
    </row>
    <row r="17" spans="1:90" x14ac:dyDescent="0.3">
      <c r="A17">
        <v>16</v>
      </c>
      <c r="B17" t="s">
        <v>424</v>
      </c>
      <c r="C17">
        <v>15494188</v>
      </c>
      <c r="D17" t="s">
        <v>143</v>
      </c>
      <c r="E17" t="s">
        <v>425</v>
      </c>
      <c r="F17" t="s">
        <v>99</v>
      </c>
      <c r="G17" t="s">
        <v>426</v>
      </c>
      <c r="H17" s="1">
        <v>46064</v>
      </c>
      <c r="I17" t="s">
        <v>101</v>
      </c>
      <c r="J17" t="s">
        <v>102</v>
      </c>
      <c r="K17" t="s">
        <v>109</v>
      </c>
      <c r="L17">
        <v>1790000090</v>
      </c>
      <c r="M17">
        <v>2</v>
      </c>
      <c r="N17">
        <v>2</v>
      </c>
      <c r="O17">
        <v>3</v>
      </c>
      <c r="P17">
        <v>3</v>
      </c>
      <c r="Q17">
        <v>3</v>
      </c>
      <c r="R17">
        <v>2</v>
      </c>
      <c r="S17">
        <v>2</v>
      </c>
      <c r="T17">
        <v>2</v>
      </c>
      <c r="U17">
        <v>2</v>
      </c>
      <c r="V17">
        <v>3</v>
      </c>
      <c r="W17">
        <v>3</v>
      </c>
      <c r="X17">
        <v>3</v>
      </c>
      <c r="Y17">
        <v>2</v>
      </c>
      <c r="Z17">
        <v>2</v>
      </c>
      <c r="AA17">
        <v>2</v>
      </c>
      <c r="AB17">
        <v>2</v>
      </c>
      <c r="AC17">
        <v>3</v>
      </c>
      <c r="AD17">
        <v>3</v>
      </c>
      <c r="AE17">
        <v>3</v>
      </c>
      <c r="AF17">
        <v>2</v>
      </c>
      <c r="AG17">
        <v>2</v>
      </c>
      <c r="AH17">
        <v>2</v>
      </c>
      <c r="AI17">
        <v>2</v>
      </c>
      <c r="AJ17">
        <v>3</v>
      </c>
      <c r="AK17">
        <v>3</v>
      </c>
      <c r="AL17">
        <v>3</v>
      </c>
      <c r="AM17">
        <v>2</v>
      </c>
      <c r="AN17">
        <v>2</v>
      </c>
      <c r="AO17">
        <v>2</v>
      </c>
      <c r="AP17">
        <v>2</v>
      </c>
      <c r="AR17">
        <v>0</v>
      </c>
      <c r="AS17">
        <v>18</v>
      </c>
      <c r="AT17">
        <v>12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30</v>
      </c>
      <c r="CI17">
        <v>315556</v>
      </c>
    </row>
    <row r="18" spans="1:90" x14ac:dyDescent="0.3">
      <c r="A18">
        <v>17</v>
      </c>
      <c r="B18" t="s">
        <v>751</v>
      </c>
      <c r="C18">
        <v>19712640</v>
      </c>
      <c r="D18" t="s">
        <v>143</v>
      </c>
      <c r="E18" t="s">
        <v>752</v>
      </c>
      <c r="F18" t="s">
        <v>753</v>
      </c>
      <c r="G18" t="s">
        <v>472</v>
      </c>
      <c r="H18" s="1">
        <v>45995</v>
      </c>
      <c r="I18" t="s">
        <v>101</v>
      </c>
      <c r="J18" t="s">
        <v>102</v>
      </c>
      <c r="K18" t="s">
        <v>243</v>
      </c>
      <c r="L18">
        <v>1790000090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3</v>
      </c>
      <c r="U18">
        <v>3</v>
      </c>
      <c r="V18">
        <v>3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R18">
        <v>0</v>
      </c>
      <c r="AS18">
        <v>9</v>
      </c>
      <c r="AT18">
        <v>14</v>
      </c>
      <c r="AU18">
        <v>7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23</v>
      </c>
      <c r="CI18">
        <v>473333</v>
      </c>
    </row>
    <row r="19" spans="1:90" x14ac:dyDescent="0.3">
      <c r="A19">
        <v>18</v>
      </c>
      <c r="B19" t="s">
        <v>274</v>
      </c>
      <c r="C19">
        <v>12953191</v>
      </c>
      <c r="D19" t="s">
        <v>275</v>
      </c>
      <c r="E19" t="s">
        <v>276</v>
      </c>
      <c r="F19" t="s">
        <v>277</v>
      </c>
      <c r="G19" t="s">
        <v>278</v>
      </c>
      <c r="H19" s="1">
        <v>45971</v>
      </c>
      <c r="I19" t="s">
        <v>140</v>
      </c>
      <c r="J19" t="s">
        <v>102</v>
      </c>
      <c r="K19" t="s">
        <v>279</v>
      </c>
      <c r="L19">
        <v>1790000090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3</v>
      </c>
      <c r="AP19">
        <v>3</v>
      </c>
      <c r="AR19">
        <v>0</v>
      </c>
      <c r="AS19">
        <v>14</v>
      </c>
      <c r="AT19">
        <v>16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30</v>
      </c>
      <c r="BC19">
        <v>620000</v>
      </c>
      <c r="BD19" t="s">
        <v>148</v>
      </c>
      <c r="BP19">
        <v>75000</v>
      </c>
      <c r="CI19">
        <v>473333</v>
      </c>
    </row>
    <row r="20" spans="1:90" x14ac:dyDescent="0.3">
      <c r="A20">
        <v>19</v>
      </c>
      <c r="B20" t="s">
        <v>447</v>
      </c>
      <c r="C20">
        <v>15802017</v>
      </c>
      <c r="D20" t="s">
        <v>448</v>
      </c>
      <c r="E20" t="s">
        <v>449</v>
      </c>
      <c r="F20" t="s">
        <v>450</v>
      </c>
      <c r="G20" t="s">
        <v>353</v>
      </c>
      <c r="H20" s="1">
        <v>45974</v>
      </c>
      <c r="I20" t="s">
        <v>140</v>
      </c>
      <c r="J20" t="s">
        <v>102</v>
      </c>
      <c r="K20" t="s">
        <v>208</v>
      </c>
      <c r="L20">
        <v>1790000090</v>
      </c>
      <c r="M20">
        <v>2</v>
      </c>
      <c r="N20">
        <v>2</v>
      </c>
      <c r="O20">
        <v>8</v>
      </c>
      <c r="P20">
        <v>8</v>
      </c>
      <c r="Q20">
        <v>2</v>
      </c>
      <c r="R20">
        <v>2</v>
      </c>
      <c r="S20">
        <v>2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R20">
        <v>0</v>
      </c>
      <c r="AS20">
        <v>14</v>
      </c>
      <c r="AT20">
        <v>14</v>
      </c>
      <c r="AU20">
        <v>0</v>
      </c>
      <c r="AV20">
        <v>0</v>
      </c>
      <c r="AW20">
        <v>0</v>
      </c>
      <c r="AX20">
        <v>0</v>
      </c>
      <c r="AY20">
        <v>2</v>
      </c>
      <c r="AZ20">
        <v>0</v>
      </c>
      <c r="BA20">
        <v>30</v>
      </c>
      <c r="BM20">
        <v>2</v>
      </c>
      <c r="BN20">
        <v>282400</v>
      </c>
      <c r="BP20">
        <v>75000</v>
      </c>
      <c r="CI20">
        <v>473333</v>
      </c>
    </row>
    <row r="21" spans="1:90" x14ac:dyDescent="0.3">
      <c r="A21">
        <v>20</v>
      </c>
      <c r="B21" t="s">
        <v>203</v>
      </c>
      <c r="C21">
        <v>11511458</v>
      </c>
      <c r="D21" t="s">
        <v>204</v>
      </c>
      <c r="E21" t="s">
        <v>205</v>
      </c>
      <c r="F21" t="s">
        <v>206</v>
      </c>
      <c r="G21" t="s">
        <v>207</v>
      </c>
      <c r="H21" s="1">
        <v>45992</v>
      </c>
      <c r="I21" t="s">
        <v>140</v>
      </c>
      <c r="J21" t="s">
        <v>102</v>
      </c>
      <c r="K21" t="s">
        <v>208</v>
      </c>
      <c r="L21">
        <v>1790000090</v>
      </c>
      <c r="M21">
        <v>2</v>
      </c>
      <c r="N21">
        <v>2</v>
      </c>
      <c r="O21">
        <v>8</v>
      </c>
      <c r="P21">
        <v>8</v>
      </c>
      <c r="Q21">
        <v>2</v>
      </c>
      <c r="R21">
        <v>2</v>
      </c>
      <c r="S21">
        <v>2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R21">
        <v>0</v>
      </c>
      <c r="AS21">
        <v>5</v>
      </c>
      <c r="AT21">
        <v>14</v>
      </c>
      <c r="AU21">
        <v>0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21</v>
      </c>
      <c r="BM21">
        <v>2</v>
      </c>
      <c r="BN21">
        <v>180000</v>
      </c>
      <c r="BP21">
        <v>52500</v>
      </c>
      <c r="CI21">
        <v>315555</v>
      </c>
    </row>
    <row r="22" spans="1:90" x14ac:dyDescent="0.3">
      <c r="A22">
        <v>21</v>
      </c>
      <c r="B22" t="s">
        <v>560</v>
      </c>
      <c r="C22">
        <v>17175261</v>
      </c>
      <c r="D22" t="s">
        <v>204</v>
      </c>
      <c r="E22" t="s">
        <v>225</v>
      </c>
      <c r="F22" t="s">
        <v>561</v>
      </c>
      <c r="G22" t="s">
        <v>312</v>
      </c>
      <c r="H22" s="1">
        <v>46054</v>
      </c>
      <c r="I22" t="s">
        <v>140</v>
      </c>
      <c r="J22" t="s">
        <v>102</v>
      </c>
      <c r="K22" t="s">
        <v>243</v>
      </c>
      <c r="L22">
        <v>1790000090</v>
      </c>
      <c r="M22">
        <v>2</v>
      </c>
      <c r="N22">
        <v>2</v>
      </c>
      <c r="O22">
        <v>8</v>
      </c>
      <c r="P22">
        <v>8</v>
      </c>
      <c r="Q22">
        <v>2</v>
      </c>
      <c r="R22">
        <v>2</v>
      </c>
      <c r="S22">
        <v>2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R22">
        <v>0</v>
      </c>
      <c r="AS22">
        <v>14</v>
      </c>
      <c r="AT22">
        <v>14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0</v>
      </c>
      <c r="BA22">
        <v>30</v>
      </c>
      <c r="BM22">
        <v>2</v>
      </c>
      <c r="BN22">
        <v>282400</v>
      </c>
      <c r="BP22">
        <v>75000</v>
      </c>
      <c r="CI22">
        <v>473333</v>
      </c>
      <c r="CK22">
        <v>1270799</v>
      </c>
      <c r="CL22">
        <v>100000</v>
      </c>
    </row>
    <row r="23" spans="1:90" x14ac:dyDescent="0.3">
      <c r="A23">
        <v>22</v>
      </c>
      <c r="B23" t="s">
        <v>254</v>
      </c>
      <c r="C23">
        <v>12543039</v>
      </c>
      <c r="D23" t="s">
        <v>255</v>
      </c>
      <c r="E23" t="s">
        <v>256</v>
      </c>
      <c r="F23" t="s">
        <v>257</v>
      </c>
      <c r="G23" t="s">
        <v>160</v>
      </c>
      <c r="H23" s="1">
        <v>45995</v>
      </c>
      <c r="I23" t="s">
        <v>140</v>
      </c>
      <c r="J23" t="s">
        <v>102</v>
      </c>
      <c r="K23" t="s">
        <v>147</v>
      </c>
      <c r="L23">
        <v>1790000090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R23">
        <v>0</v>
      </c>
      <c r="AS23">
        <v>14</v>
      </c>
      <c r="AT23">
        <v>16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30</v>
      </c>
      <c r="BC23">
        <v>130833</v>
      </c>
      <c r="BD23" t="s">
        <v>148</v>
      </c>
      <c r="BP23">
        <v>75000</v>
      </c>
      <c r="CI23">
        <v>473333</v>
      </c>
      <c r="CJ23">
        <v>213354</v>
      </c>
    </row>
    <row r="24" spans="1:90" x14ac:dyDescent="0.3">
      <c r="A24">
        <v>23</v>
      </c>
      <c r="B24" t="s">
        <v>825</v>
      </c>
      <c r="C24">
        <v>21016873</v>
      </c>
      <c r="D24" t="s">
        <v>255</v>
      </c>
      <c r="E24" t="s">
        <v>826</v>
      </c>
      <c r="F24" t="s">
        <v>827</v>
      </c>
      <c r="G24" t="s">
        <v>146</v>
      </c>
      <c r="H24" s="1">
        <v>45987</v>
      </c>
      <c r="I24" t="s">
        <v>140</v>
      </c>
      <c r="J24" t="s">
        <v>102</v>
      </c>
      <c r="K24" t="s">
        <v>208</v>
      </c>
      <c r="L24">
        <v>1790000090</v>
      </c>
      <c r="M24">
        <v>2</v>
      </c>
      <c r="N24">
        <v>2</v>
      </c>
      <c r="O24">
        <v>8</v>
      </c>
      <c r="P24">
        <v>8</v>
      </c>
      <c r="Q24">
        <v>2</v>
      </c>
      <c r="R24">
        <v>2</v>
      </c>
      <c r="S24">
        <v>2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R24">
        <v>0</v>
      </c>
      <c r="AS24">
        <v>5</v>
      </c>
      <c r="AT24">
        <v>14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21</v>
      </c>
      <c r="BM24">
        <v>2</v>
      </c>
      <c r="BN24">
        <v>282400</v>
      </c>
      <c r="BP24">
        <v>52500</v>
      </c>
      <c r="CI24">
        <v>315555</v>
      </c>
    </row>
    <row r="25" spans="1:90" x14ac:dyDescent="0.3">
      <c r="A25">
        <v>24</v>
      </c>
      <c r="B25" t="s">
        <v>851</v>
      </c>
      <c r="C25">
        <v>24457802</v>
      </c>
      <c r="D25" t="s">
        <v>852</v>
      </c>
      <c r="E25" t="s">
        <v>853</v>
      </c>
      <c r="F25" t="s">
        <v>854</v>
      </c>
      <c r="G25" t="s">
        <v>160</v>
      </c>
      <c r="H25" s="1">
        <v>46054</v>
      </c>
      <c r="I25" t="s">
        <v>140</v>
      </c>
      <c r="J25" t="s">
        <v>102</v>
      </c>
      <c r="K25" t="s">
        <v>147</v>
      </c>
      <c r="L25">
        <v>1790000090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R25">
        <v>0</v>
      </c>
      <c r="AS25">
        <v>14</v>
      </c>
      <c r="AT25">
        <v>16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30</v>
      </c>
      <c r="BC25">
        <v>130833</v>
      </c>
      <c r="BD25" t="s">
        <v>148</v>
      </c>
      <c r="BP25">
        <v>75000</v>
      </c>
      <c r="CI25">
        <v>473333</v>
      </c>
      <c r="CJ25">
        <v>213354</v>
      </c>
    </row>
    <row r="26" spans="1:90" x14ac:dyDescent="0.3">
      <c r="A26">
        <v>25</v>
      </c>
      <c r="B26" t="s">
        <v>348</v>
      </c>
      <c r="C26">
        <v>13975512</v>
      </c>
      <c r="D26" t="s">
        <v>349</v>
      </c>
      <c r="E26" t="s">
        <v>339</v>
      </c>
      <c r="F26" t="s">
        <v>184</v>
      </c>
      <c r="G26" t="s">
        <v>146</v>
      </c>
      <c r="H26" s="1">
        <v>46041</v>
      </c>
      <c r="I26" t="s">
        <v>140</v>
      </c>
      <c r="J26" t="s">
        <v>102</v>
      </c>
      <c r="K26" t="s">
        <v>147</v>
      </c>
      <c r="L26">
        <v>1790000090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3</v>
      </c>
      <c r="AR26">
        <v>0</v>
      </c>
      <c r="AS26">
        <v>14</v>
      </c>
      <c r="AT26">
        <v>16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</v>
      </c>
      <c r="BC26">
        <v>235333</v>
      </c>
      <c r="BD26" t="s">
        <v>148</v>
      </c>
      <c r="BP26">
        <v>75000</v>
      </c>
      <c r="CI26">
        <v>473333</v>
      </c>
    </row>
    <row r="27" spans="1:90" x14ac:dyDescent="0.3">
      <c r="A27">
        <v>26</v>
      </c>
      <c r="B27" t="s">
        <v>795</v>
      </c>
      <c r="C27">
        <v>20308932</v>
      </c>
      <c r="D27" t="s">
        <v>403</v>
      </c>
      <c r="E27" t="s">
        <v>259</v>
      </c>
      <c r="F27" t="s">
        <v>796</v>
      </c>
      <c r="G27" t="s">
        <v>233</v>
      </c>
      <c r="H27" s="1">
        <v>45987</v>
      </c>
      <c r="I27" t="s">
        <v>140</v>
      </c>
      <c r="J27" t="s">
        <v>102</v>
      </c>
      <c r="K27" t="s">
        <v>208</v>
      </c>
      <c r="L27">
        <v>1790000090</v>
      </c>
      <c r="M27">
        <v>2</v>
      </c>
      <c r="N27">
        <v>2</v>
      </c>
      <c r="O27">
        <v>8</v>
      </c>
      <c r="P27">
        <v>8</v>
      </c>
      <c r="Q27">
        <v>2</v>
      </c>
      <c r="R27">
        <v>2</v>
      </c>
      <c r="S27">
        <v>2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R27">
        <v>0</v>
      </c>
      <c r="AS27">
        <v>14</v>
      </c>
      <c r="AT27">
        <v>14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30</v>
      </c>
      <c r="BM27">
        <v>2</v>
      </c>
      <c r="BN27">
        <v>180000</v>
      </c>
      <c r="BP27">
        <v>75000</v>
      </c>
      <c r="CI27">
        <v>473333</v>
      </c>
    </row>
    <row r="28" spans="1:90" x14ac:dyDescent="0.3">
      <c r="A28">
        <v>27</v>
      </c>
      <c r="B28" t="s">
        <v>754</v>
      </c>
      <c r="C28">
        <v>19809697</v>
      </c>
      <c r="D28" t="s">
        <v>755</v>
      </c>
      <c r="E28" t="s">
        <v>756</v>
      </c>
      <c r="F28" t="s">
        <v>757</v>
      </c>
      <c r="G28" t="s">
        <v>745</v>
      </c>
      <c r="H28" s="1">
        <v>45962</v>
      </c>
      <c r="I28" t="s">
        <v>101</v>
      </c>
      <c r="J28" t="s">
        <v>253</v>
      </c>
      <c r="K28" t="s">
        <v>272</v>
      </c>
      <c r="L28">
        <v>1790000090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3</v>
      </c>
      <c r="AR28">
        <v>0</v>
      </c>
      <c r="AS28">
        <v>0</v>
      </c>
      <c r="AT28">
        <v>1</v>
      </c>
      <c r="AU28">
        <v>21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E28">
        <v>17000</v>
      </c>
      <c r="BF28" t="s">
        <v>273</v>
      </c>
      <c r="CI28">
        <v>473333</v>
      </c>
    </row>
    <row r="29" spans="1:90" x14ac:dyDescent="0.3">
      <c r="A29">
        <v>28</v>
      </c>
      <c r="B29" t="s">
        <v>338</v>
      </c>
      <c r="C29">
        <v>13640892</v>
      </c>
      <c r="D29" t="s">
        <v>216</v>
      </c>
      <c r="E29" t="s">
        <v>339</v>
      </c>
      <c r="F29" t="s">
        <v>340</v>
      </c>
      <c r="G29" t="s">
        <v>341</v>
      </c>
      <c r="H29" s="1">
        <v>45962</v>
      </c>
      <c r="I29" t="s">
        <v>101</v>
      </c>
      <c r="J29" t="s">
        <v>102</v>
      </c>
      <c r="K29" t="s">
        <v>109</v>
      </c>
      <c r="L29">
        <v>1790000090</v>
      </c>
      <c r="M29">
        <v>2</v>
      </c>
      <c r="N29">
        <v>2</v>
      </c>
      <c r="O29">
        <v>3</v>
      </c>
      <c r="P29">
        <v>3</v>
      </c>
      <c r="Q29">
        <v>3</v>
      </c>
      <c r="R29">
        <v>2</v>
      </c>
      <c r="S29">
        <v>2</v>
      </c>
      <c r="T29">
        <v>2</v>
      </c>
      <c r="U29">
        <v>2</v>
      </c>
      <c r="V29">
        <v>3</v>
      </c>
      <c r="W29">
        <v>3</v>
      </c>
      <c r="X29">
        <v>3</v>
      </c>
      <c r="Y29">
        <v>2</v>
      </c>
      <c r="Z29">
        <v>2</v>
      </c>
      <c r="AA29">
        <v>2</v>
      </c>
      <c r="AB29">
        <v>2</v>
      </c>
      <c r="AC29">
        <v>3</v>
      </c>
      <c r="AD29">
        <v>3</v>
      </c>
      <c r="AE29">
        <v>3</v>
      </c>
      <c r="AF29">
        <v>2</v>
      </c>
      <c r="AG29">
        <v>2</v>
      </c>
      <c r="AH29">
        <v>2</v>
      </c>
      <c r="AI29">
        <v>2</v>
      </c>
      <c r="AJ29">
        <v>3</v>
      </c>
      <c r="AK29">
        <v>3</v>
      </c>
      <c r="AL29">
        <v>3</v>
      </c>
      <c r="AM29">
        <v>2</v>
      </c>
      <c r="AN29">
        <v>2</v>
      </c>
      <c r="AO29">
        <v>2</v>
      </c>
      <c r="AP29">
        <v>2</v>
      </c>
      <c r="AR29">
        <v>0</v>
      </c>
      <c r="AS29">
        <v>18</v>
      </c>
      <c r="AT29">
        <v>12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30</v>
      </c>
      <c r="BC29">
        <v>269600</v>
      </c>
      <c r="BD29" t="s">
        <v>342</v>
      </c>
      <c r="CI29">
        <v>473333</v>
      </c>
    </row>
    <row r="30" spans="1:90" x14ac:dyDescent="0.3">
      <c r="A30">
        <v>29</v>
      </c>
      <c r="B30" t="s">
        <v>636</v>
      </c>
      <c r="C30">
        <v>18193913</v>
      </c>
      <c r="D30" t="s">
        <v>637</v>
      </c>
      <c r="E30" t="s">
        <v>638</v>
      </c>
      <c r="F30" t="s">
        <v>639</v>
      </c>
      <c r="G30" t="s">
        <v>146</v>
      </c>
      <c r="H30" s="1">
        <v>46001</v>
      </c>
      <c r="I30" t="s">
        <v>140</v>
      </c>
      <c r="J30" t="s">
        <v>102</v>
      </c>
      <c r="K30" t="s">
        <v>147</v>
      </c>
      <c r="L30">
        <v>1790000090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R30">
        <v>0</v>
      </c>
      <c r="AS30">
        <v>14</v>
      </c>
      <c r="AT30">
        <v>16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30</v>
      </c>
      <c r="BC30">
        <v>235333</v>
      </c>
      <c r="BD30" t="s">
        <v>148</v>
      </c>
      <c r="BP30">
        <v>75000</v>
      </c>
      <c r="CI30">
        <v>473333</v>
      </c>
    </row>
    <row r="31" spans="1:90" x14ac:dyDescent="0.3">
      <c r="A31">
        <v>30</v>
      </c>
      <c r="B31" t="s">
        <v>816</v>
      </c>
      <c r="C31">
        <v>20747827</v>
      </c>
      <c r="D31" t="s">
        <v>541</v>
      </c>
      <c r="E31" t="s">
        <v>143</v>
      </c>
      <c r="F31" t="s">
        <v>817</v>
      </c>
      <c r="G31" t="s">
        <v>233</v>
      </c>
      <c r="H31" s="1">
        <v>46003</v>
      </c>
      <c r="I31" t="s">
        <v>140</v>
      </c>
      <c r="J31" t="s">
        <v>102</v>
      </c>
      <c r="K31" t="s">
        <v>272</v>
      </c>
      <c r="L31">
        <v>1790000090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R31">
        <v>0</v>
      </c>
      <c r="AS31">
        <v>14</v>
      </c>
      <c r="AT31">
        <v>16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30</v>
      </c>
      <c r="BC31">
        <v>150000</v>
      </c>
      <c r="BD31" t="s">
        <v>148</v>
      </c>
      <c r="BP31">
        <v>75000</v>
      </c>
      <c r="CI31">
        <v>473333</v>
      </c>
    </row>
    <row r="32" spans="1:90" x14ac:dyDescent="0.3">
      <c r="A32">
        <v>31</v>
      </c>
      <c r="B32" t="s">
        <v>675</v>
      </c>
      <c r="C32">
        <v>18632489</v>
      </c>
      <c r="D32" t="s">
        <v>183</v>
      </c>
      <c r="E32" t="s">
        <v>676</v>
      </c>
      <c r="F32" t="s">
        <v>677</v>
      </c>
      <c r="G32" t="s">
        <v>233</v>
      </c>
      <c r="H32" s="1">
        <v>46054</v>
      </c>
      <c r="I32" t="s">
        <v>140</v>
      </c>
      <c r="J32" t="s">
        <v>102</v>
      </c>
      <c r="K32" t="s">
        <v>243</v>
      </c>
      <c r="L32">
        <v>1790000090</v>
      </c>
      <c r="M32">
        <v>2</v>
      </c>
      <c r="N32">
        <v>2</v>
      </c>
      <c r="O32">
        <v>8</v>
      </c>
      <c r="P32">
        <v>8</v>
      </c>
      <c r="Q32">
        <v>2</v>
      </c>
      <c r="R32">
        <v>2</v>
      </c>
      <c r="S32">
        <v>2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R32">
        <v>0</v>
      </c>
      <c r="AS32">
        <v>5</v>
      </c>
      <c r="AT32">
        <v>14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0</v>
      </c>
      <c r="BA32">
        <v>21</v>
      </c>
      <c r="BM32">
        <v>2</v>
      </c>
      <c r="BN32">
        <v>180000</v>
      </c>
      <c r="BP32">
        <v>52500</v>
      </c>
      <c r="CI32">
        <v>315555</v>
      </c>
    </row>
    <row r="33" spans="1:90" x14ac:dyDescent="0.3">
      <c r="A33">
        <v>32</v>
      </c>
      <c r="B33" t="s">
        <v>771</v>
      </c>
      <c r="C33">
        <v>20006272</v>
      </c>
      <c r="D33" t="s">
        <v>772</v>
      </c>
      <c r="E33" t="s">
        <v>773</v>
      </c>
      <c r="F33" t="s">
        <v>774</v>
      </c>
      <c r="G33" t="s">
        <v>233</v>
      </c>
      <c r="H33" s="1">
        <v>46004</v>
      </c>
      <c r="I33" t="s">
        <v>140</v>
      </c>
      <c r="J33" t="s">
        <v>102</v>
      </c>
      <c r="K33" t="s">
        <v>243</v>
      </c>
      <c r="L33">
        <v>1790000090</v>
      </c>
      <c r="M33">
        <v>2</v>
      </c>
      <c r="N33">
        <v>2</v>
      </c>
      <c r="O33">
        <v>8</v>
      </c>
      <c r="P33">
        <v>8</v>
      </c>
      <c r="Q33">
        <v>2</v>
      </c>
      <c r="R33">
        <v>2</v>
      </c>
      <c r="S33">
        <v>2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R33">
        <v>0</v>
      </c>
      <c r="AS33">
        <v>14</v>
      </c>
      <c r="AT33">
        <v>14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30</v>
      </c>
      <c r="BM33">
        <v>2</v>
      </c>
      <c r="BN33">
        <v>180000</v>
      </c>
      <c r="BP33">
        <v>75000</v>
      </c>
      <c r="CI33">
        <v>473333</v>
      </c>
      <c r="CK33">
        <v>810000</v>
      </c>
      <c r="CL33">
        <v>100000</v>
      </c>
    </row>
    <row r="34" spans="1:90" x14ac:dyDescent="0.3">
      <c r="A34">
        <v>33</v>
      </c>
      <c r="B34" t="s">
        <v>443</v>
      </c>
      <c r="C34">
        <v>15757199</v>
      </c>
      <c r="D34" t="s">
        <v>444</v>
      </c>
      <c r="E34" t="s">
        <v>445</v>
      </c>
      <c r="F34" t="s">
        <v>446</v>
      </c>
      <c r="G34" t="s">
        <v>160</v>
      </c>
      <c r="H34" s="1">
        <v>46023</v>
      </c>
      <c r="I34" t="s">
        <v>140</v>
      </c>
      <c r="J34" t="s">
        <v>102</v>
      </c>
      <c r="K34" t="s">
        <v>208</v>
      </c>
      <c r="L34">
        <v>1790000090</v>
      </c>
      <c r="M34">
        <v>2</v>
      </c>
      <c r="N34">
        <v>2</v>
      </c>
      <c r="O34">
        <v>8</v>
      </c>
      <c r="P34">
        <v>8</v>
      </c>
      <c r="Q34">
        <v>2</v>
      </c>
      <c r="R34">
        <v>2</v>
      </c>
      <c r="S34">
        <v>2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R34">
        <v>0</v>
      </c>
      <c r="AS34">
        <v>5</v>
      </c>
      <c r="AT34">
        <v>14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0</v>
      </c>
      <c r="BA34">
        <v>21</v>
      </c>
      <c r="BM34">
        <v>2</v>
      </c>
      <c r="BN34">
        <v>157000</v>
      </c>
      <c r="BP34">
        <v>52500</v>
      </c>
      <c r="CI34">
        <v>315555</v>
      </c>
    </row>
    <row r="35" spans="1:90" x14ac:dyDescent="0.3">
      <c r="A35">
        <v>34</v>
      </c>
      <c r="B35" t="s">
        <v>707</v>
      </c>
      <c r="C35">
        <v>19155427</v>
      </c>
      <c r="D35" t="s">
        <v>226</v>
      </c>
      <c r="E35" t="s">
        <v>708</v>
      </c>
      <c r="F35" t="s">
        <v>709</v>
      </c>
      <c r="G35" t="s">
        <v>419</v>
      </c>
      <c r="H35" s="1">
        <v>45987</v>
      </c>
      <c r="I35" t="s">
        <v>140</v>
      </c>
      <c r="J35" t="s">
        <v>102</v>
      </c>
      <c r="K35" t="s">
        <v>208</v>
      </c>
      <c r="L35">
        <v>1790000090</v>
      </c>
      <c r="M35">
        <v>2</v>
      </c>
      <c r="N35">
        <v>2</v>
      </c>
      <c r="O35">
        <v>8</v>
      </c>
      <c r="P35">
        <v>8</v>
      </c>
      <c r="Q35">
        <v>2</v>
      </c>
      <c r="R35">
        <v>2</v>
      </c>
      <c r="S35">
        <v>2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R35">
        <v>0</v>
      </c>
      <c r="AS35">
        <v>14</v>
      </c>
      <c r="AT35">
        <v>14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30</v>
      </c>
      <c r="BM35">
        <v>2</v>
      </c>
      <c r="BN35">
        <v>282400</v>
      </c>
      <c r="BP35">
        <v>75000</v>
      </c>
      <c r="CI35">
        <v>473333</v>
      </c>
      <c r="CK35">
        <v>1270799</v>
      </c>
      <c r="CL35">
        <v>100000</v>
      </c>
    </row>
    <row r="36" spans="1:90" x14ac:dyDescent="0.3">
      <c r="A36">
        <v>35</v>
      </c>
      <c r="B36" t="s">
        <v>629</v>
      </c>
      <c r="C36">
        <v>18125043</v>
      </c>
      <c r="D36" t="s">
        <v>614</v>
      </c>
      <c r="E36" t="s">
        <v>630</v>
      </c>
      <c r="F36" t="s">
        <v>631</v>
      </c>
      <c r="G36" t="s">
        <v>460</v>
      </c>
      <c r="H36" s="1">
        <v>46069</v>
      </c>
      <c r="I36" t="s">
        <v>140</v>
      </c>
      <c r="J36" t="s">
        <v>102</v>
      </c>
      <c r="K36" t="s">
        <v>147</v>
      </c>
      <c r="L36">
        <v>1790000090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3</v>
      </c>
      <c r="AN36">
        <v>3</v>
      </c>
      <c r="AO36">
        <v>3</v>
      </c>
      <c r="AP36">
        <v>3</v>
      </c>
      <c r="AR36">
        <v>0</v>
      </c>
      <c r="AS36">
        <v>14</v>
      </c>
      <c r="AT36">
        <v>16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30</v>
      </c>
      <c r="BC36">
        <v>150000</v>
      </c>
      <c r="BD36" t="s">
        <v>148</v>
      </c>
      <c r="BP36">
        <v>75000</v>
      </c>
      <c r="CI36">
        <v>315556</v>
      </c>
    </row>
    <row r="37" spans="1:90" x14ac:dyDescent="0.3">
      <c r="A37">
        <v>36</v>
      </c>
      <c r="B37" t="s">
        <v>334</v>
      </c>
      <c r="C37">
        <v>13632515</v>
      </c>
      <c r="D37" t="s">
        <v>335</v>
      </c>
      <c r="E37" t="s">
        <v>336</v>
      </c>
      <c r="F37" t="s">
        <v>337</v>
      </c>
      <c r="G37" t="s">
        <v>289</v>
      </c>
      <c r="H37" s="1">
        <v>45962</v>
      </c>
      <c r="I37" t="s">
        <v>140</v>
      </c>
      <c r="J37" t="s">
        <v>102</v>
      </c>
      <c r="K37" t="s">
        <v>208</v>
      </c>
      <c r="L37">
        <v>1790000090</v>
      </c>
      <c r="M37">
        <v>2</v>
      </c>
      <c r="N37">
        <v>2</v>
      </c>
      <c r="O37">
        <v>8</v>
      </c>
      <c r="P37">
        <v>8</v>
      </c>
      <c r="Q37">
        <v>2</v>
      </c>
      <c r="R37">
        <v>2</v>
      </c>
      <c r="S37">
        <v>2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R37">
        <v>0</v>
      </c>
      <c r="AS37">
        <v>14</v>
      </c>
      <c r="AT37">
        <v>14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30</v>
      </c>
      <c r="BE37">
        <v>1877000</v>
      </c>
      <c r="BF37" t="s">
        <v>273</v>
      </c>
      <c r="BM37">
        <v>2</v>
      </c>
      <c r="BN37">
        <v>718000</v>
      </c>
      <c r="CE37">
        <v>77281</v>
      </c>
      <c r="CI37">
        <v>473333</v>
      </c>
      <c r="CK37">
        <v>3230999</v>
      </c>
      <c r="CL37">
        <v>100000</v>
      </c>
    </row>
    <row r="38" spans="1:90" x14ac:dyDescent="0.3">
      <c r="A38">
        <v>37</v>
      </c>
      <c r="B38" t="s">
        <v>405</v>
      </c>
      <c r="C38">
        <v>15050650</v>
      </c>
      <c r="D38" t="s">
        <v>406</v>
      </c>
      <c r="E38" t="s">
        <v>407</v>
      </c>
      <c r="F38" t="s">
        <v>408</v>
      </c>
      <c r="G38" t="s">
        <v>409</v>
      </c>
      <c r="H38" s="1">
        <v>45985</v>
      </c>
      <c r="I38" t="s">
        <v>140</v>
      </c>
      <c r="J38" t="s">
        <v>102</v>
      </c>
      <c r="K38" t="s">
        <v>208</v>
      </c>
      <c r="L38">
        <v>1790000090</v>
      </c>
      <c r="M38">
        <v>2</v>
      </c>
      <c r="N38">
        <v>2</v>
      </c>
      <c r="O38">
        <v>8</v>
      </c>
      <c r="P38">
        <v>8</v>
      </c>
      <c r="Q38">
        <v>2</v>
      </c>
      <c r="R38">
        <v>2</v>
      </c>
      <c r="S38">
        <v>2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R38">
        <v>0</v>
      </c>
      <c r="AS38">
        <v>14</v>
      </c>
      <c r="AT38">
        <v>14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</v>
      </c>
      <c r="BA38">
        <v>30</v>
      </c>
      <c r="BM38">
        <v>2</v>
      </c>
      <c r="BN38">
        <v>337200</v>
      </c>
      <c r="BP38">
        <v>75000</v>
      </c>
      <c r="CI38">
        <v>473333</v>
      </c>
      <c r="CK38">
        <v>1517399</v>
      </c>
      <c r="CL38">
        <v>100000</v>
      </c>
    </row>
    <row r="39" spans="1:90" x14ac:dyDescent="0.3">
      <c r="A39">
        <v>38</v>
      </c>
      <c r="B39" t="s">
        <v>759</v>
      </c>
      <c r="C39">
        <v>19815369</v>
      </c>
      <c r="D39" t="s">
        <v>760</v>
      </c>
      <c r="E39" t="s">
        <v>230</v>
      </c>
      <c r="F39" t="s">
        <v>761</v>
      </c>
      <c r="G39" t="s">
        <v>146</v>
      </c>
      <c r="H39" s="1">
        <v>46041</v>
      </c>
      <c r="I39" t="s">
        <v>140</v>
      </c>
      <c r="J39" t="s">
        <v>102</v>
      </c>
      <c r="K39" t="s">
        <v>147</v>
      </c>
      <c r="L39">
        <v>1790000090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R39">
        <v>0</v>
      </c>
      <c r="AS39">
        <v>14</v>
      </c>
      <c r="AT39">
        <v>16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30</v>
      </c>
      <c r="BC39">
        <v>235333</v>
      </c>
      <c r="BD39" t="s">
        <v>148</v>
      </c>
      <c r="BP39">
        <v>75000</v>
      </c>
      <c r="CI39">
        <v>473333</v>
      </c>
    </row>
    <row r="40" spans="1:90" x14ac:dyDescent="0.3">
      <c r="A40">
        <v>39</v>
      </c>
      <c r="B40" t="s">
        <v>656</v>
      </c>
      <c r="C40">
        <v>18352650</v>
      </c>
      <c r="D40" t="s">
        <v>657</v>
      </c>
      <c r="E40" t="s">
        <v>143</v>
      </c>
      <c r="F40" t="s">
        <v>658</v>
      </c>
      <c r="G40" t="s">
        <v>659</v>
      </c>
      <c r="H40" s="1">
        <v>45985</v>
      </c>
      <c r="I40" t="s">
        <v>101</v>
      </c>
      <c r="J40" t="s">
        <v>253</v>
      </c>
      <c r="K40" t="s">
        <v>660</v>
      </c>
      <c r="L40">
        <v>1790000090</v>
      </c>
      <c r="M40">
        <v>2</v>
      </c>
      <c r="N40">
        <v>2</v>
      </c>
      <c r="O40">
        <v>8</v>
      </c>
      <c r="P40">
        <v>8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2</v>
      </c>
      <c r="AP40">
        <v>3</v>
      </c>
      <c r="AR40">
        <v>0</v>
      </c>
      <c r="AS40">
        <v>13</v>
      </c>
      <c r="AT40">
        <v>15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30</v>
      </c>
      <c r="BM40">
        <v>2</v>
      </c>
      <c r="BN40">
        <v>232000</v>
      </c>
      <c r="BP40">
        <v>75000</v>
      </c>
      <c r="CI40">
        <v>473333</v>
      </c>
    </row>
    <row r="41" spans="1:90" x14ac:dyDescent="0.3">
      <c r="A41">
        <v>40</v>
      </c>
      <c r="B41" t="s">
        <v>859</v>
      </c>
      <c r="C41">
        <v>24847465</v>
      </c>
      <c r="D41" t="s">
        <v>860</v>
      </c>
      <c r="E41" t="s">
        <v>861</v>
      </c>
      <c r="F41" t="s">
        <v>862</v>
      </c>
      <c r="G41" t="s">
        <v>160</v>
      </c>
      <c r="H41" s="1">
        <v>46034</v>
      </c>
      <c r="I41" t="s">
        <v>140</v>
      </c>
      <c r="J41" t="s">
        <v>102</v>
      </c>
      <c r="K41" t="s">
        <v>243</v>
      </c>
      <c r="L41">
        <v>1790000090</v>
      </c>
      <c r="M41">
        <v>2</v>
      </c>
      <c r="N41">
        <v>2</v>
      </c>
      <c r="O41">
        <v>8</v>
      </c>
      <c r="P41">
        <v>8</v>
      </c>
      <c r="Q41">
        <v>2</v>
      </c>
      <c r="R41">
        <v>2</v>
      </c>
      <c r="S41">
        <v>2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R41">
        <v>0</v>
      </c>
      <c r="AS41">
        <v>14</v>
      </c>
      <c r="AT41">
        <v>14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</v>
      </c>
      <c r="BA41">
        <v>30</v>
      </c>
      <c r="BM41">
        <v>2</v>
      </c>
      <c r="BN41">
        <v>157000</v>
      </c>
      <c r="BP41">
        <v>75000</v>
      </c>
      <c r="CI41">
        <v>473333</v>
      </c>
    </row>
    <row r="42" spans="1:90" x14ac:dyDescent="0.3">
      <c r="A42">
        <v>41</v>
      </c>
      <c r="B42" t="s">
        <v>741</v>
      </c>
      <c r="C42">
        <v>19588589</v>
      </c>
      <c r="D42" t="s">
        <v>742</v>
      </c>
      <c r="E42" t="s">
        <v>743</v>
      </c>
      <c r="F42" t="s">
        <v>744</v>
      </c>
      <c r="G42" t="s">
        <v>745</v>
      </c>
      <c r="H42" s="1">
        <v>45967</v>
      </c>
      <c r="I42" t="s">
        <v>101</v>
      </c>
      <c r="J42" t="s">
        <v>102</v>
      </c>
      <c r="K42" t="s">
        <v>208</v>
      </c>
      <c r="L42">
        <v>1790000090</v>
      </c>
      <c r="M42">
        <v>2</v>
      </c>
      <c r="N42">
        <v>2</v>
      </c>
      <c r="O42">
        <v>8</v>
      </c>
      <c r="P42">
        <v>8</v>
      </c>
      <c r="Q42">
        <v>2</v>
      </c>
      <c r="R42">
        <v>2</v>
      </c>
      <c r="S42">
        <v>2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R42">
        <v>0</v>
      </c>
      <c r="AS42">
        <v>14</v>
      </c>
      <c r="AT42">
        <v>14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0</v>
      </c>
      <c r="BA42">
        <v>30</v>
      </c>
      <c r="BC42">
        <v>1670666</v>
      </c>
      <c r="BD42" t="s">
        <v>746</v>
      </c>
      <c r="BM42">
        <v>2</v>
      </c>
      <c r="BN42">
        <v>358000</v>
      </c>
      <c r="CI42">
        <v>473333</v>
      </c>
    </row>
    <row r="43" spans="1:90" x14ac:dyDescent="0.3">
      <c r="A43">
        <v>42</v>
      </c>
      <c r="B43" t="s">
        <v>265</v>
      </c>
      <c r="C43">
        <v>12807347</v>
      </c>
      <c r="D43" t="s">
        <v>230</v>
      </c>
      <c r="E43" t="s">
        <v>266</v>
      </c>
      <c r="F43" t="s">
        <v>267</v>
      </c>
      <c r="G43" t="s">
        <v>233</v>
      </c>
      <c r="H43" s="1">
        <v>46003</v>
      </c>
      <c r="I43" t="s">
        <v>140</v>
      </c>
      <c r="J43" t="s">
        <v>102</v>
      </c>
      <c r="K43" t="s">
        <v>147</v>
      </c>
      <c r="L43">
        <v>1790000090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3</v>
      </c>
      <c r="AP43">
        <v>3</v>
      </c>
      <c r="AR43">
        <v>0</v>
      </c>
      <c r="AS43">
        <v>14</v>
      </c>
      <c r="AT43">
        <v>16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30</v>
      </c>
      <c r="BC43">
        <v>150000</v>
      </c>
      <c r="BD43" t="s">
        <v>148</v>
      </c>
      <c r="BP43">
        <v>75000</v>
      </c>
      <c r="CI43">
        <v>473333</v>
      </c>
    </row>
    <row r="44" spans="1:90" x14ac:dyDescent="0.3">
      <c r="A44">
        <v>43</v>
      </c>
      <c r="B44" t="s">
        <v>581</v>
      </c>
      <c r="C44">
        <v>17364721</v>
      </c>
      <c r="D44" t="s">
        <v>230</v>
      </c>
      <c r="E44" t="s">
        <v>582</v>
      </c>
      <c r="F44" t="s">
        <v>583</v>
      </c>
      <c r="G44" t="s">
        <v>312</v>
      </c>
      <c r="H44" s="1">
        <v>46003</v>
      </c>
      <c r="I44" t="s">
        <v>140</v>
      </c>
      <c r="J44" t="s">
        <v>102</v>
      </c>
      <c r="K44" t="s">
        <v>147</v>
      </c>
      <c r="L44">
        <v>1790000090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v>3</v>
      </c>
      <c r="AO44">
        <v>3</v>
      </c>
      <c r="AP44">
        <v>3</v>
      </c>
      <c r="AR44">
        <v>0</v>
      </c>
      <c r="AS44">
        <v>14</v>
      </c>
      <c r="AT44">
        <v>16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30</v>
      </c>
      <c r="BC44">
        <v>235333</v>
      </c>
      <c r="BD44" t="s">
        <v>148</v>
      </c>
      <c r="BP44">
        <v>75000</v>
      </c>
      <c r="CI44">
        <v>473333</v>
      </c>
    </row>
    <row r="45" spans="1:90" x14ac:dyDescent="0.3">
      <c r="A45">
        <v>44</v>
      </c>
      <c r="B45" t="s">
        <v>703</v>
      </c>
      <c r="C45">
        <v>19123828</v>
      </c>
      <c r="D45" t="s">
        <v>704</v>
      </c>
      <c r="E45" t="s">
        <v>705</v>
      </c>
      <c r="F45" t="s">
        <v>706</v>
      </c>
      <c r="G45" t="s">
        <v>146</v>
      </c>
      <c r="H45" s="1">
        <v>45992</v>
      </c>
      <c r="I45" t="s">
        <v>140</v>
      </c>
      <c r="J45" t="s">
        <v>102</v>
      </c>
      <c r="K45" t="s">
        <v>208</v>
      </c>
      <c r="L45">
        <v>1790000090</v>
      </c>
      <c r="M45">
        <v>2</v>
      </c>
      <c r="N45">
        <v>2</v>
      </c>
      <c r="O45">
        <v>8</v>
      </c>
      <c r="P45">
        <v>8</v>
      </c>
      <c r="Q45">
        <v>2</v>
      </c>
      <c r="R45">
        <v>2</v>
      </c>
      <c r="S45">
        <v>2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R45">
        <v>0</v>
      </c>
      <c r="AS45">
        <v>5</v>
      </c>
      <c r="AT45">
        <v>14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0</v>
      </c>
      <c r="BA45">
        <v>21</v>
      </c>
      <c r="BM45">
        <v>2</v>
      </c>
      <c r="BN45">
        <v>282400</v>
      </c>
      <c r="BP45">
        <v>52500</v>
      </c>
      <c r="CI45">
        <v>315555</v>
      </c>
    </row>
    <row r="46" spans="1:90" x14ac:dyDescent="0.3">
      <c r="A46">
        <v>45</v>
      </c>
      <c r="B46" t="s">
        <v>451</v>
      </c>
      <c r="C46">
        <v>15802541</v>
      </c>
      <c r="D46" t="s">
        <v>315</v>
      </c>
      <c r="E46" t="s">
        <v>296</v>
      </c>
      <c r="F46" t="s">
        <v>452</v>
      </c>
      <c r="G46" t="s">
        <v>233</v>
      </c>
      <c r="H46" s="1">
        <v>46006</v>
      </c>
      <c r="I46" t="s">
        <v>140</v>
      </c>
      <c r="J46" t="s">
        <v>102</v>
      </c>
      <c r="K46" t="s">
        <v>147</v>
      </c>
      <c r="L46">
        <v>1790000090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R46">
        <v>0</v>
      </c>
      <c r="AS46">
        <v>14</v>
      </c>
      <c r="AT46">
        <v>16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30</v>
      </c>
      <c r="BC46">
        <v>150000</v>
      </c>
      <c r="BD46" t="s">
        <v>148</v>
      </c>
      <c r="BP46">
        <v>75000</v>
      </c>
      <c r="CI46">
        <v>473333</v>
      </c>
    </row>
    <row r="47" spans="1:90" x14ac:dyDescent="0.3">
      <c r="A47">
        <v>46</v>
      </c>
      <c r="B47" t="s">
        <v>699</v>
      </c>
      <c r="C47">
        <v>19104534</v>
      </c>
      <c r="D47" t="s">
        <v>700</v>
      </c>
      <c r="E47" t="s">
        <v>701</v>
      </c>
      <c r="F47" t="s">
        <v>702</v>
      </c>
      <c r="G47" t="s">
        <v>160</v>
      </c>
      <c r="H47" s="1">
        <v>45987</v>
      </c>
      <c r="I47" t="s">
        <v>140</v>
      </c>
      <c r="J47" t="s">
        <v>102</v>
      </c>
      <c r="K47" t="s">
        <v>208</v>
      </c>
      <c r="L47">
        <v>1790000090</v>
      </c>
      <c r="M47">
        <v>2</v>
      </c>
      <c r="N47">
        <v>2</v>
      </c>
      <c r="O47">
        <v>6</v>
      </c>
      <c r="P47">
        <v>6</v>
      </c>
      <c r="Q47">
        <v>6</v>
      </c>
      <c r="R47">
        <v>6</v>
      </c>
      <c r="S47">
        <v>6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3</v>
      </c>
      <c r="AR47">
        <v>0</v>
      </c>
      <c r="AS47">
        <v>2</v>
      </c>
      <c r="AT47">
        <v>14</v>
      </c>
      <c r="AU47">
        <v>0</v>
      </c>
      <c r="AV47">
        <v>0</v>
      </c>
      <c r="AW47">
        <v>5</v>
      </c>
      <c r="AX47">
        <v>0</v>
      </c>
      <c r="AY47">
        <v>0</v>
      </c>
      <c r="AZ47">
        <v>0</v>
      </c>
      <c r="BA47">
        <v>16</v>
      </c>
      <c r="CI47">
        <v>315555</v>
      </c>
    </row>
    <row r="48" spans="1:90" x14ac:dyDescent="0.3">
      <c r="A48">
        <v>47</v>
      </c>
      <c r="B48" t="s">
        <v>867</v>
      </c>
      <c r="C48">
        <v>25247969</v>
      </c>
      <c r="D48" t="s">
        <v>700</v>
      </c>
      <c r="E48" t="s">
        <v>868</v>
      </c>
      <c r="F48" t="s">
        <v>869</v>
      </c>
      <c r="G48" t="s">
        <v>278</v>
      </c>
      <c r="H48" s="1">
        <v>45978</v>
      </c>
      <c r="I48" t="s">
        <v>101</v>
      </c>
      <c r="J48" t="s">
        <v>253</v>
      </c>
      <c r="K48" t="s">
        <v>660</v>
      </c>
      <c r="L48">
        <v>1790000090</v>
      </c>
      <c r="M48">
        <v>3</v>
      </c>
      <c r="N48">
        <v>2</v>
      </c>
      <c r="O48">
        <v>8</v>
      </c>
      <c r="P48">
        <v>8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3</v>
      </c>
      <c r="AL48">
        <v>3</v>
      </c>
      <c r="AM48">
        <v>3</v>
      </c>
      <c r="AN48">
        <v>3</v>
      </c>
      <c r="AO48">
        <v>2</v>
      </c>
      <c r="AP48">
        <v>3</v>
      </c>
      <c r="AR48">
        <v>0</v>
      </c>
      <c r="AS48">
        <v>12</v>
      </c>
      <c r="AT48">
        <v>16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0</v>
      </c>
      <c r="BA48">
        <v>30</v>
      </c>
      <c r="BM48">
        <v>2</v>
      </c>
      <c r="BN48">
        <v>310000</v>
      </c>
      <c r="BP48">
        <v>75000</v>
      </c>
      <c r="CI48">
        <v>473333</v>
      </c>
    </row>
    <row r="49" spans="1:90" x14ac:dyDescent="0.3">
      <c r="A49">
        <v>48</v>
      </c>
      <c r="B49" t="s">
        <v>692</v>
      </c>
      <c r="C49">
        <v>19049850</v>
      </c>
      <c r="D49" t="s">
        <v>567</v>
      </c>
      <c r="E49" t="s">
        <v>676</v>
      </c>
      <c r="F49" t="s">
        <v>693</v>
      </c>
      <c r="G49" t="s">
        <v>153</v>
      </c>
      <c r="H49" s="1">
        <v>45992</v>
      </c>
      <c r="I49" t="s">
        <v>101</v>
      </c>
      <c r="J49" t="s">
        <v>102</v>
      </c>
      <c r="K49" t="s">
        <v>208</v>
      </c>
      <c r="L49">
        <v>1790000090</v>
      </c>
      <c r="M49">
        <v>2</v>
      </c>
      <c r="N49">
        <v>2</v>
      </c>
      <c r="O49">
        <v>8</v>
      </c>
      <c r="P49">
        <v>8</v>
      </c>
      <c r="Q49">
        <v>2</v>
      </c>
      <c r="R49">
        <v>2</v>
      </c>
      <c r="S49">
        <v>2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R49">
        <v>0</v>
      </c>
      <c r="AS49">
        <v>14</v>
      </c>
      <c r="AT49">
        <v>14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0</v>
      </c>
      <c r="BA49">
        <v>30</v>
      </c>
      <c r="BM49">
        <v>2</v>
      </c>
      <c r="BN49">
        <v>513000</v>
      </c>
      <c r="CI49">
        <v>473333</v>
      </c>
      <c r="CK49">
        <v>2308499</v>
      </c>
      <c r="CL49">
        <v>100000</v>
      </c>
    </row>
    <row r="50" spans="1:90" x14ac:dyDescent="0.3">
      <c r="A50">
        <v>49</v>
      </c>
      <c r="B50" t="s">
        <v>299</v>
      </c>
      <c r="C50">
        <v>13179077</v>
      </c>
      <c r="D50" t="s">
        <v>162</v>
      </c>
      <c r="E50" t="s">
        <v>300</v>
      </c>
      <c r="F50" t="s">
        <v>301</v>
      </c>
      <c r="G50" t="s">
        <v>302</v>
      </c>
      <c r="H50" s="1">
        <v>45957</v>
      </c>
      <c r="I50" t="s">
        <v>101</v>
      </c>
      <c r="J50" t="s">
        <v>102</v>
      </c>
      <c r="K50" t="s">
        <v>109</v>
      </c>
      <c r="L50">
        <v>1790000090</v>
      </c>
      <c r="M50">
        <v>2</v>
      </c>
      <c r="N50">
        <v>2</v>
      </c>
      <c r="O50">
        <v>3</v>
      </c>
      <c r="P50">
        <v>3</v>
      </c>
      <c r="Q50">
        <v>3</v>
      </c>
      <c r="R50">
        <v>2</v>
      </c>
      <c r="S50">
        <v>2</v>
      </c>
      <c r="T50">
        <v>2</v>
      </c>
      <c r="U50">
        <v>2</v>
      </c>
      <c r="V50">
        <v>3</v>
      </c>
      <c r="W50">
        <v>3</v>
      </c>
      <c r="X50">
        <v>3</v>
      </c>
      <c r="Y50">
        <v>2</v>
      </c>
      <c r="Z50">
        <v>2</v>
      </c>
      <c r="AA50">
        <v>2</v>
      </c>
      <c r="AB50">
        <v>2</v>
      </c>
      <c r="AC50">
        <v>3</v>
      </c>
      <c r="AD50">
        <v>3</v>
      </c>
      <c r="AE50">
        <v>3</v>
      </c>
      <c r="AF50">
        <v>2</v>
      </c>
      <c r="AG50">
        <v>2</v>
      </c>
      <c r="AH50">
        <v>2</v>
      </c>
      <c r="AI50">
        <v>2</v>
      </c>
      <c r="AJ50">
        <v>3</v>
      </c>
      <c r="AK50">
        <v>3</v>
      </c>
      <c r="AL50">
        <v>3</v>
      </c>
      <c r="AM50">
        <v>2</v>
      </c>
      <c r="AN50">
        <v>2</v>
      </c>
      <c r="AO50">
        <v>2</v>
      </c>
      <c r="AP50">
        <v>2</v>
      </c>
      <c r="AR50">
        <v>0</v>
      </c>
      <c r="AS50">
        <v>18</v>
      </c>
      <c r="AT50">
        <v>12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30</v>
      </c>
      <c r="BC50">
        <v>333600</v>
      </c>
      <c r="BD50" t="s">
        <v>303</v>
      </c>
      <c r="CI50">
        <v>473333</v>
      </c>
      <c r="CK50">
        <v>1000800</v>
      </c>
      <c r="CL50">
        <v>100000</v>
      </c>
    </row>
    <row r="51" spans="1:90" x14ac:dyDescent="0.3">
      <c r="A51">
        <v>50</v>
      </c>
      <c r="B51" t="s">
        <v>828</v>
      </c>
      <c r="C51">
        <v>21022831</v>
      </c>
      <c r="D51" t="s">
        <v>829</v>
      </c>
      <c r="E51" t="s">
        <v>131</v>
      </c>
      <c r="F51" t="s">
        <v>830</v>
      </c>
      <c r="G51" t="s">
        <v>233</v>
      </c>
      <c r="H51" s="1">
        <v>46003</v>
      </c>
      <c r="I51" t="s">
        <v>140</v>
      </c>
      <c r="J51" t="s">
        <v>102</v>
      </c>
      <c r="K51" t="s">
        <v>147</v>
      </c>
      <c r="L51">
        <v>1790000090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3</v>
      </c>
      <c r="AR51">
        <v>0</v>
      </c>
      <c r="AS51">
        <v>14</v>
      </c>
      <c r="AT51">
        <v>16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30</v>
      </c>
      <c r="BC51">
        <v>150000</v>
      </c>
      <c r="BD51" t="s">
        <v>148</v>
      </c>
      <c r="BP51">
        <v>75000</v>
      </c>
      <c r="CI51">
        <v>473333</v>
      </c>
    </row>
    <row r="52" spans="1:90" x14ac:dyDescent="0.3">
      <c r="A52">
        <v>51</v>
      </c>
      <c r="B52" t="s">
        <v>811</v>
      </c>
      <c r="C52">
        <v>20684339</v>
      </c>
      <c r="D52" t="s">
        <v>812</v>
      </c>
      <c r="E52" t="s">
        <v>132</v>
      </c>
      <c r="F52" t="s">
        <v>813</v>
      </c>
      <c r="G52" t="s">
        <v>460</v>
      </c>
      <c r="H52" s="1">
        <v>45987</v>
      </c>
      <c r="I52" t="s">
        <v>140</v>
      </c>
      <c r="J52" t="s">
        <v>102</v>
      </c>
      <c r="K52" t="s">
        <v>208</v>
      </c>
      <c r="L52">
        <v>1790000090</v>
      </c>
      <c r="M52">
        <v>2</v>
      </c>
      <c r="N52">
        <v>2</v>
      </c>
      <c r="O52">
        <v>8</v>
      </c>
      <c r="P52">
        <v>8</v>
      </c>
      <c r="Q52">
        <v>2</v>
      </c>
      <c r="R52">
        <v>2</v>
      </c>
      <c r="S52">
        <v>2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R52">
        <v>0</v>
      </c>
      <c r="AS52">
        <v>5</v>
      </c>
      <c r="AT52">
        <v>14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0</v>
      </c>
      <c r="BA52">
        <v>21</v>
      </c>
      <c r="BM52">
        <v>2</v>
      </c>
      <c r="BN52">
        <v>180000</v>
      </c>
      <c r="BP52">
        <v>52500</v>
      </c>
      <c r="CI52">
        <v>315555</v>
      </c>
    </row>
    <row r="53" spans="1:90" x14ac:dyDescent="0.3">
      <c r="A53">
        <v>52</v>
      </c>
      <c r="B53" t="s">
        <v>604</v>
      </c>
      <c r="C53">
        <v>17712833</v>
      </c>
      <c r="D53" t="s">
        <v>605</v>
      </c>
      <c r="E53" t="s">
        <v>606</v>
      </c>
      <c r="F53" t="s">
        <v>607</v>
      </c>
      <c r="G53" t="s">
        <v>146</v>
      </c>
      <c r="H53" s="1">
        <v>46041</v>
      </c>
      <c r="I53" t="s">
        <v>140</v>
      </c>
      <c r="J53" t="s">
        <v>102</v>
      </c>
      <c r="K53" t="s">
        <v>147</v>
      </c>
      <c r="L53">
        <v>1790000090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3</v>
      </c>
      <c r="AP53">
        <v>3</v>
      </c>
      <c r="AR53">
        <v>0</v>
      </c>
      <c r="AS53">
        <v>14</v>
      </c>
      <c r="AT53">
        <v>16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30</v>
      </c>
      <c r="BC53">
        <v>235333</v>
      </c>
      <c r="BD53" t="s">
        <v>148</v>
      </c>
      <c r="BP53">
        <v>75000</v>
      </c>
      <c r="CI53">
        <v>473333</v>
      </c>
    </row>
    <row r="54" spans="1:90" x14ac:dyDescent="0.3">
      <c r="A54">
        <v>53</v>
      </c>
      <c r="B54" t="s">
        <v>678</v>
      </c>
      <c r="C54">
        <v>18687714</v>
      </c>
      <c r="D54" t="s">
        <v>605</v>
      </c>
      <c r="E54" t="s">
        <v>679</v>
      </c>
      <c r="F54" t="s">
        <v>680</v>
      </c>
      <c r="G54" t="s">
        <v>146</v>
      </c>
      <c r="H54" s="1">
        <v>46054</v>
      </c>
      <c r="I54" t="s">
        <v>140</v>
      </c>
      <c r="J54" t="s">
        <v>102</v>
      </c>
      <c r="K54" t="s">
        <v>243</v>
      </c>
      <c r="L54">
        <v>1790000090</v>
      </c>
      <c r="M54">
        <v>2</v>
      </c>
      <c r="N54">
        <v>2</v>
      </c>
      <c r="O54">
        <v>8</v>
      </c>
      <c r="P54">
        <v>8</v>
      </c>
      <c r="Q54">
        <v>2</v>
      </c>
      <c r="R54">
        <v>2</v>
      </c>
      <c r="S54">
        <v>2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R54">
        <v>0</v>
      </c>
      <c r="AS54">
        <v>5</v>
      </c>
      <c r="AT54">
        <v>14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21</v>
      </c>
      <c r="BM54">
        <v>2</v>
      </c>
      <c r="BN54">
        <v>282400</v>
      </c>
      <c r="BP54">
        <v>52500</v>
      </c>
      <c r="CI54">
        <v>315555</v>
      </c>
    </row>
    <row r="55" spans="1:90" x14ac:dyDescent="0.3">
      <c r="A55">
        <v>54</v>
      </c>
      <c r="B55" t="s">
        <v>724</v>
      </c>
      <c r="C55">
        <v>19355560</v>
      </c>
      <c r="D55" t="s">
        <v>605</v>
      </c>
      <c r="E55" t="s">
        <v>725</v>
      </c>
      <c r="F55" t="s">
        <v>726</v>
      </c>
      <c r="G55" t="s">
        <v>160</v>
      </c>
      <c r="H55" s="1">
        <v>45987</v>
      </c>
      <c r="I55" t="s">
        <v>140</v>
      </c>
      <c r="J55" t="s">
        <v>102</v>
      </c>
      <c r="K55" t="s">
        <v>208</v>
      </c>
      <c r="L55">
        <v>1790000090</v>
      </c>
      <c r="M55">
        <v>2</v>
      </c>
      <c r="N55">
        <v>2</v>
      </c>
      <c r="O55">
        <v>8</v>
      </c>
      <c r="P55">
        <v>8</v>
      </c>
      <c r="Q55">
        <v>2</v>
      </c>
      <c r="R55">
        <v>2</v>
      </c>
      <c r="S55">
        <v>2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2</v>
      </c>
      <c r="AR55">
        <v>0</v>
      </c>
      <c r="AS55">
        <v>14</v>
      </c>
      <c r="AT55">
        <v>14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</v>
      </c>
      <c r="BA55">
        <v>30</v>
      </c>
      <c r="BM55">
        <v>2</v>
      </c>
      <c r="BN55">
        <v>157000</v>
      </c>
      <c r="BP55">
        <v>75000</v>
      </c>
      <c r="CI55">
        <v>473333</v>
      </c>
      <c r="CK55">
        <v>706500</v>
      </c>
      <c r="CL55">
        <v>100000</v>
      </c>
    </row>
    <row r="56" spans="1:90" x14ac:dyDescent="0.3">
      <c r="A56">
        <v>55</v>
      </c>
      <c r="B56" t="s">
        <v>661</v>
      </c>
      <c r="C56">
        <v>18353271</v>
      </c>
      <c r="D56" t="s">
        <v>662</v>
      </c>
      <c r="E56" t="s">
        <v>662</v>
      </c>
      <c r="F56" t="s">
        <v>663</v>
      </c>
      <c r="G56" t="s">
        <v>312</v>
      </c>
      <c r="H56" s="1">
        <v>45992</v>
      </c>
      <c r="I56" t="s">
        <v>140</v>
      </c>
      <c r="J56" t="s">
        <v>102</v>
      </c>
      <c r="K56" t="s">
        <v>208</v>
      </c>
      <c r="L56">
        <v>1790000090</v>
      </c>
      <c r="M56">
        <v>2</v>
      </c>
      <c r="N56">
        <v>2</v>
      </c>
      <c r="O56">
        <v>8</v>
      </c>
      <c r="P56">
        <v>8</v>
      </c>
      <c r="Q56">
        <v>2</v>
      </c>
      <c r="R56">
        <v>2</v>
      </c>
      <c r="S56">
        <v>2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R56">
        <v>0</v>
      </c>
      <c r="AS56">
        <v>14</v>
      </c>
      <c r="AT56">
        <v>14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A56">
        <v>30</v>
      </c>
      <c r="BM56">
        <v>2</v>
      </c>
      <c r="BN56">
        <v>282400</v>
      </c>
      <c r="BP56">
        <v>75000</v>
      </c>
      <c r="CI56">
        <v>473333</v>
      </c>
      <c r="CK56">
        <v>1270799</v>
      </c>
      <c r="CL56">
        <v>100000</v>
      </c>
    </row>
    <row r="57" spans="1:90" x14ac:dyDescent="0.3">
      <c r="A57">
        <v>56</v>
      </c>
      <c r="B57" t="s">
        <v>198</v>
      </c>
      <c r="C57">
        <v>11387365</v>
      </c>
      <c r="D57" t="s">
        <v>199</v>
      </c>
      <c r="E57" t="s">
        <v>200</v>
      </c>
      <c r="F57" t="s">
        <v>201</v>
      </c>
      <c r="G57" t="s">
        <v>202</v>
      </c>
      <c r="H57" s="1">
        <v>46082</v>
      </c>
      <c r="I57" t="s">
        <v>101</v>
      </c>
      <c r="J57" t="s">
        <v>102</v>
      </c>
      <c r="K57" t="s">
        <v>147</v>
      </c>
      <c r="L57">
        <v>1790000090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3</v>
      </c>
      <c r="AR57">
        <v>0</v>
      </c>
      <c r="AS57">
        <v>14</v>
      </c>
      <c r="AT57">
        <v>16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30</v>
      </c>
      <c r="BC57">
        <v>215000</v>
      </c>
      <c r="BD57" t="s">
        <v>148</v>
      </c>
      <c r="BP57">
        <v>75000</v>
      </c>
      <c r="CI57">
        <v>315556</v>
      </c>
    </row>
    <row r="58" spans="1:90" x14ac:dyDescent="0.3">
      <c r="A58">
        <v>57</v>
      </c>
      <c r="B58" t="s">
        <v>430</v>
      </c>
      <c r="C58">
        <v>15575503</v>
      </c>
      <c r="D58" t="s">
        <v>431</v>
      </c>
      <c r="E58" t="s">
        <v>432</v>
      </c>
      <c r="F58" t="s">
        <v>433</v>
      </c>
      <c r="G58" t="s">
        <v>233</v>
      </c>
      <c r="H58" s="1">
        <v>46104</v>
      </c>
      <c r="I58" t="s">
        <v>140</v>
      </c>
      <c r="J58" t="s">
        <v>102</v>
      </c>
      <c r="K58" t="s">
        <v>208</v>
      </c>
      <c r="L58">
        <v>1790000090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R58">
        <v>7</v>
      </c>
      <c r="AS58">
        <v>0</v>
      </c>
      <c r="AT58">
        <v>9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16</v>
      </c>
      <c r="CI58">
        <v>0</v>
      </c>
    </row>
    <row r="59" spans="1:90" x14ac:dyDescent="0.3">
      <c r="A59">
        <v>58</v>
      </c>
      <c r="B59" t="s">
        <v>716</v>
      </c>
      <c r="C59">
        <v>19260480</v>
      </c>
      <c r="D59" t="s">
        <v>717</v>
      </c>
      <c r="E59" t="s">
        <v>567</v>
      </c>
      <c r="F59" t="s">
        <v>718</v>
      </c>
      <c r="G59" t="s">
        <v>719</v>
      </c>
      <c r="H59" s="1">
        <v>45988</v>
      </c>
      <c r="I59" t="s">
        <v>101</v>
      </c>
      <c r="J59" t="s">
        <v>102</v>
      </c>
      <c r="K59" t="s">
        <v>208</v>
      </c>
      <c r="L59">
        <v>1790000090</v>
      </c>
      <c r="M59">
        <v>2</v>
      </c>
      <c r="N59">
        <v>2</v>
      </c>
      <c r="O59">
        <v>8</v>
      </c>
      <c r="P59">
        <v>8</v>
      </c>
      <c r="Q59">
        <v>2</v>
      </c>
      <c r="R59">
        <v>2</v>
      </c>
      <c r="S59">
        <v>2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R59">
        <v>0</v>
      </c>
      <c r="AS59">
        <v>14</v>
      </c>
      <c r="AT59">
        <v>14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30</v>
      </c>
      <c r="BM59">
        <v>2</v>
      </c>
      <c r="BN59">
        <v>282400</v>
      </c>
      <c r="BP59">
        <v>75000</v>
      </c>
      <c r="CI59">
        <v>473333</v>
      </c>
    </row>
    <row r="60" spans="1:90" x14ac:dyDescent="0.3">
      <c r="A60">
        <v>59</v>
      </c>
      <c r="B60" t="s">
        <v>863</v>
      </c>
      <c r="C60">
        <v>25179180</v>
      </c>
      <c r="D60" t="s">
        <v>864</v>
      </c>
      <c r="E60" t="s">
        <v>865</v>
      </c>
      <c r="F60" t="s">
        <v>866</v>
      </c>
      <c r="G60" t="s">
        <v>588</v>
      </c>
      <c r="H60" s="1">
        <v>45993</v>
      </c>
      <c r="I60" t="s">
        <v>101</v>
      </c>
      <c r="J60" t="s">
        <v>102</v>
      </c>
      <c r="K60" t="s">
        <v>109</v>
      </c>
      <c r="L60">
        <v>1790000090</v>
      </c>
      <c r="M60">
        <v>2</v>
      </c>
      <c r="N60">
        <v>2</v>
      </c>
      <c r="O60">
        <v>3</v>
      </c>
      <c r="P60">
        <v>3</v>
      </c>
      <c r="Q60">
        <v>3</v>
      </c>
      <c r="R60">
        <v>2</v>
      </c>
      <c r="S60">
        <v>2</v>
      </c>
      <c r="T60">
        <v>2</v>
      </c>
      <c r="U60">
        <v>2</v>
      </c>
      <c r="V60">
        <v>3</v>
      </c>
      <c r="W60">
        <v>3</v>
      </c>
      <c r="X60">
        <v>3</v>
      </c>
      <c r="Y60">
        <v>2</v>
      </c>
      <c r="Z60">
        <v>2</v>
      </c>
      <c r="AA60">
        <v>2</v>
      </c>
      <c r="AB60">
        <v>2</v>
      </c>
      <c r="AC60">
        <v>3</v>
      </c>
      <c r="AD60">
        <v>3</v>
      </c>
      <c r="AE60">
        <v>3</v>
      </c>
      <c r="AF60">
        <v>2</v>
      </c>
      <c r="AG60">
        <v>2</v>
      </c>
      <c r="AH60">
        <v>2</v>
      </c>
      <c r="AI60">
        <v>2</v>
      </c>
      <c r="AJ60">
        <v>3</v>
      </c>
      <c r="AK60">
        <v>3</v>
      </c>
      <c r="AL60">
        <v>3</v>
      </c>
      <c r="AM60">
        <v>2</v>
      </c>
      <c r="AN60">
        <v>2</v>
      </c>
      <c r="AO60">
        <v>2</v>
      </c>
      <c r="AP60">
        <v>2</v>
      </c>
      <c r="AR60">
        <v>0</v>
      </c>
      <c r="AS60">
        <v>18</v>
      </c>
      <c r="AT60">
        <v>12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30</v>
      </c>
      <c r="BP60">
        <v>75000</v>
      </c>
      <c r="CI60">
        <v>473333</v>
      </c>
    </row>
    <row r="61" spans="1:90" x14ac:dyDescent="0.3">
      <c r="A61">
        <v>60</v>
      </c>
      <c r="B61" t="s">
        <v>453</v>
      </c>
      <c r="C61">
        <v>15834377</v>
      </c>
      <c r="D61" t="s">
        <v>454</v>
      </c>
      <c r="E61" t="s">
        <v>455</v>
      </c>
      <c r="F61" t="s">
        <v>456</v>
      </c>
      <c r="G61" t="s">
        <v>233</v>
      </c>
      <c r="H61" s="1">
        <v>46054</v>
      </c>
      <c r="I61" t="s">
        <v>140</v>
      </c>
      <c r="J61" t="s">
        <v>102</v>
      </c>
      <c r="K61" t="s">
        <v>243</v>
      </c>
      <c r="L61">
        <v>1790000090</v>
      </c>
      <c r="M61">
        <v>2</v>
      </c>
      <c r="N61">
        <v>2</v>
      </c>
      <c r="O61">
        <v>8</v>
      </c>
      <c r="P61">
        <v>8</v>
      </c>
      <c r="Q61">
        <v>2</v>
      </c>
      <c r="R61">
        <v>2</v>
      </c>
      <c r="S61">
        <v>2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R61">
        <v>0</v>
      </c>
      <c r="AS61">
        <v>5</v>
      </c>
      <c r="AT61">
        <v>14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21</v>
      </c>
      <c r="BM61">
        <v>2</v>
      </c>
      <c r="BN61">
        <v>180000</v>
      </c>
      <c r="BP61">
        <v>52500</v>
      </c>
      <c r="CI61">
        <v>315555</v>
      </c>
    </row>
    <row r="62" spans="1:90" x14ac:dyDescent="0.3">
      <c r="A62">
        <v>61</v>
      </c>
      <c r="B62" t="s">
        <v>647</v>
      </c>
      <c r="C62">
        <v>18316953</v>
      </c>
      <c r="D62" t="s">
        <v>648</v>
      </c>
      <c r="E62" t="s">
        <v>649</v>
      </c>
      <c r="F62" t="s">
        <v>650</v>
      </c>
      <c r="G62" t="s">
        <v>576</v>
      </c>
      <c r="H62" s="1">
        <v>45992</v>
      </c>
      <c r="I62" t="s">
        <v>140</v>
      </c>
      <c r="J62" t="s">
        <v>102</v>
      </c>
      <c r="K62" t="s">
        <v>208</v>
      </c>
      <c r="L62">
        <v>1790000090</v>
      </c>
      <c r="M62">
        <v>2</v>
      </c>
      <c r="N62">
        <v>2</v>
      </c>
      <c r="O62">
        <v>8</v>
      </c>
      <c r="P62">
        <v>8</v>
      </c>
      <c r="Q62">
        <v>2</v>
      </c>
      <c r="R62">
        <v>2</v>
      </c>
      <c r="S62">
        <v>2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2</v>
      </c>
      <c r="AI62">
        <v>2</v>
      </c>
      <c r="AJ62">
        <v>2</v>
      </c>
      <c r="AK62">
        <v>2</v>
      </c>
      <c r="AL62">
        <v>2</v>
      </c>
      <c r="AM62">
        <v>2</v>
      </c>
      <c r="AN62">
        <v>2</v>
      </c>
      <c r="AO62">
        <v>2</v>
      </c>
      <c r="AP62">
        <v>2</v>
      </c>
      <c r="AR62">
        <v>0</v>
      </c>
      <c r="AS62">
        <v>14</v>
      </c>
      <c r="AT62">
        <v>14</v>
      </c>
      <c r="AU62">
        <v>0</v>
      </c>
      <c r="AV62">
        <v>0</v>
      </c>
      <c r="AW62">
        <v>0</v>
      </c>
      <c r="AX62">
        <v>0</v>
      </c>
      <c r="AY62">
        <v>2</v>
      </c>
      <c r="AZ62">
        <v>0</v>
      </c>
      <c r="BA62">
        <v>30</v>
      </c>
      <c r="BE62">
        <v>62500.000000000007</v>
      </c>
      <c r="BF62" t="s">
        <v>577</v>
      </c>
      <c r="BM62">
        <v>2</v>
      </c>
      <c r="BN62">
        <v>169500</v>
      </c>
      <c r="BP62">
        <v>75000</v>
      </c>
      <c r="CI62">
        <v>473333</v>
      </c>
    </row>
    <row r="63" spans="1:90" x14ac:dyDescent="0.3">
      <c r="A63">
        <v>62</v>
      </c>
      <c r="B63" t="s">
        <v>844</v>
      </c>
      <c r="C63">
        <v>24231740</v>
      </c>
      <c r="D63" t="s">
        <v>845</v>
      </c>
      <c r="E63" t="s">
        <v>225</v>
      </c>
      <c r="F63" t="s">
        <v>846</v>
      </c>
      <c r="G63" t="s">
        <v>513</v>
      </c>
      <c r="H63" s="1">
        <v>46041</v>
      </c>
      <c r="I63" t="s">
        <v>101</v>
      </c>
      <c r="J63" t="s">
        <v>102</v>
      </c>
      <c r="K63" t="s">
        <v>243</v>
      </c>
      <c r="L63">
        <v>1790000090</v>
      </c>
      <c r="M63">
        <v>2</v>
      </c>
      <c r="N63">
        <v>2</v>
      </c>
      <c r="O63">
        <v>8</v>
      </c>
      <c r="P63">
        <v>8</v>
      </c>
      <c r="Q63">
        <v>2</v>
      </c>
      <c r="R63">
        <v>2</v>
      </c>
      <c r="S63">
        <v>2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2</v>
      </c>
      <c r="AI63">
        <v>2</v>
      </c>
      <c r="AJ63">
        <v>2</v>
      </c>
      <c r="AK63">
        <v>2</v>
      </c>
      <c r="AL63">
        <v>2</v>
      </c>
      <c r="AM63">
        <v>2</v>
      </c>
      <c r="AN63">
        <v>2</v>
      </c>
      <c r="AO63">
        <v>2</v>
      </c>
      <c r="AP63">
        <v>2</v>
      </c>
      <c r="AR63">
        <v>0</v>
      </c>
      <c r="AS63">
        <v>14</v>
      </c>
      <c r="AT63">
        <v>14</v>
      </c>
      <c r="AU63">
        <v>0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30</v>
      </c>
      <c r="BM63">
        <v>2</v>
      </c>
      <c r="BN63">
        <v>461600</v>
      </c>
      <c r="CI63">
        <v>473333</v>
      </c>
    </row>
    <row r="64" spans="1:90" x14ac:dyDescent="0.3">
      <c r="A64">
        <v>63</v>
      </c>
      <c r="B64" t="s">
        <v>617</v>
      </c>
      <c r="C64">
        <v>17902748</v>
      </c>
      <c r="D64" t="s">
        <v>618</v>
      </c>
      <c r="E64" t="s">
        <v>619</v>
      </c>
      <c r="F64" t="s">
        <v>620</v>
      </c>
      <c r="G64" t="s">
        <v>160</v>
      </c>
      <c r="H64" s="1">
        <v>46035</v>
      </c>
      <c r="I64" t="s">
        <v>140</v>
      </c>
      <c r="J64" t="s">
        <v>102</v>
      </c>
      <c r="K64" t="s">
        <v>208</v>
      </c>
      <c r="L64">
        <v>1790000090</v>
      </c>
      <c r="M64">
        <v>6</v>
      </c>
      <c r="N64">
        <v>6</v>
      </c>
      <c r="O64">
        <v>6</v>
      </c>
      <c r="P64">
        <v>6</v>
      </c>
      <c r="Q64">
        <v>6</v>
      </c>
      <c r="R64">
        <v>6</v>
      </c>
      <c r="S64">
        <v>6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R64">
        <v>0</v>
      </c>
      <c r="AS64">
        <v>0</v>
      </c>
      <c r="AT64">
        <v>14</v>
      </c>
      <c r="AU64">
        <v>0</v>
      </c>
      <c r="AV64">
        <v>0</v>
      </c>
      <c r="AW64">
        <v>7</v>
      </c>
      <c r="AX64">
        <v>0</v>
      </c>
      <c r="AY64">
        <v>0</v>
      </c>
      <c r="AZ64">
        <v>0</v>
      </c>
      <c r="BA64">
        <v>14</v>
      </c>
      <c r="CI64">
        <v>315555</v>
      </c>
    </row>
    <row r="65" spans="1:90" x14ac:dyDescent="0.3">
      <c r="A65">
        <v>64</v>
      </c>
      <c r="B65" t="s">
        <v>322</v>
      </c>
      <c r="C65">
        <v>13419327</v>
      </c>
      <c r="D65" t="s">
        <v>215</v>
      </c>
      <c r="E65" t="s">
        <v>323</v>
      </c>
      <c r="F65" t="s">
        <v>324</v>
      </c>
      <c r="G65" t="s">
        <v>271</v>
      </c>
      <c r="H65" s="1">
        <v>45962</v>
      </c>
      <c r="I65" t="s">
        <v>101</v>
      </c>
      <c r="J65" t="s">
        <v>102</v>
      </c>
      <c r="K65" t="s">
        <v>208</v>
      </c>
      <c r="L65">
        <v>1790000090</v>
      </c>
      <c r="M65">
        <v>2</v>
      </c>
      <c r="N65">
        <v>2</v>
      </c>
      <c r="O65">
        <v>8</v>
      </c>
      <c r="P65">
        <v>8</v>
      </c>
      <c r="Q65">
        <v>2</v>
      </c>
      <c r="R65">
        <v>2</v>
      </c>
      <c r="S65">
        <v>2</v>
      </c>
      <c r="T65">
        <v>3</v>
      </c>
      <c r="U65">
        <v>3</v>
      </c>
      <c r="V65">
        <v>3</v>
      </c>
      <c r="W65">
        <v>3</v>
      </c>
      <c r="X65">
        <v>3</v>
      </c>
      <c r="Y65">
        <v>3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2</v>
      </c>
      <c r="AI65">
        <v>2</v>
      </c>
      <c r="AJ65">
        <v>2</v>
      </c>
      <c r="AK65">
        <v>2</v>
      </c>
      <c r="AL65">
        <v>2</v>
      </c>
      <c r="AM65">
        <v>2</v>
      </c>
      <c r="AN65">
        <v>2</v>
      </c>
      <c r="AO65">
        <v>2</v>
      </c>
      <c r="AP65">
        <v>2</v>
      </c>
      <c r="AR65">
        <v>0</v>
      </c>
      <c r="AS65">
        <v>14</v>
      </c>
      <c r="AT65">
        <v>14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0</v>
      </c>
      <c r="BA65">
        <v>30</v>
      </c>
      <c r="BE65">
        <v>792000</v>
      </c>
      <c r="BF65" t="s">
        <v>273</v>
      </c>
      <c r="BM65">
        <v>2</v>
      </c>
      <c r="BN65">
        <v>512000</v>
      </c>
      <c r="CI65">
        <v>473333</v>
      </c>
    </row>
    <row r="66" spans="1:90" x14ac:dyDescent="0.3">
      <c r="A66">
        <v>65</v>
      </c>
      <c r="B66" t="s">
        <v>401</v>
      </c>
      <c r="C66">
        <v>15043532</v>
      </c>
      <c r="D66" t="s">
        <v>402</v>
      </c>
      <c r="E66" t="s">
        <v>403</v>
      </c>
      <c r="F66" t="s">
        <v>404</v>
      </c>
      <c r="G66" t="s">
        <v>353</v>
      </c>
      <c r="H66" s="1">
        <v>46082</v>
      </c>
      <c r="I66" t="s">
        <v>140</v>
      </c>
      <c r="J66" t="s">
        <v>102</v>
      </c>
      <c r="K66" t="s">
        <v>243</v>
      </c>
      <c r="L66">
        <v>1790000090</v>
      </c>
      <c r="M66">
        <v>2</v>
      </c>
      <c r="N66">
        <v>2</v>
      </c>
      <c r="O66">
        <v>8</v>
      </c>
      <c r="P66">
        <v>8</v>
      </c>
      <c r="Q66">
        <v>2</v>
      </c>
      <c r="R66">
        <v>2</v>
      </c>
      <c r="S66">
        <v>2</v>
      </c>
      <c r="T66">
        <v>3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R66">
        <v>0</v>
      </c>
      <c r="AS66">
        <v>14</v>
      </c>
      <c r="AT66">
        <v>14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</v>
      </c>
      <c r="BA66">
        <v>30</v>
      </c>
      <c r="BM66">
        <v>2</v>
      </c>
      <c r="BN66">
        <v>282400</v>
      </c>
      <c r="BP66">
        <v>75000</v>
      </c>
      <c r="CI66">
        <v>315556</v>
      </c>
      <c r="CK66">
        <v>1270799</v>
      </c>
      <c r="CL66">
        <v>100000</v>
      </c>
    </row>
    <row r="67" spans="1:90" x14ac:dyDescent="0.3">
      <c r="A67">
        <v>66</v>
      </c>
      <c r="B67" t="s">
        <v>831</v>
      </c>
      <c r="C67">
        <v>21463925</v>
      </c>
      <c r="D67" t="s">
        <v>832</v>
      </c>
      <c r="E67" t="s">
        <v>833</v>
      </c>
      <c r="F67" t="s">
        <v>834</v>
      </c>
      <c r="G67" t="s">
        <v>233</v>
      </c>
      <c r="H67" s="1">
        <v>46006</v>
      </c>
      <c r="I67" t="s">
        <v>140</v>
      </c>
      <c r="J67" t="s">
        <v>102</v>
      </c>
      <c r="K67" t="s">
        <v>147</v>
      </c>
      <c r="L67">
        <v>1790000090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R67">
        <v>0</v>
      </c>
      <c r="AS67">
        <v>14</v>
      </c>
      <c r="AT67">
        <v>16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30</v>
      </c>
      <c r="BC67">
        <v>150000</v>
      </c>
      <c r="BD67" t="s">
        <v>148</v>
      </c>
      <c r="BP67">
        <v>75000</v>
      </c>
      <c r="CI67">
        <v>473333</v>
      </c>
    </row>
    <row r="68" spans="1:90" x14ac:dyDescent="0.3">
      <c r="A68">
        <v>67</v>
      </c>
      <c r="B68" t="s">
        <v>667</v>
      </c>
      <c r="C68">
        <v>18353767</v>
      </c>
      <c r="D68" t="s">
        <v>668</v>
      </c>
      <c r="E68" t="s">
        <v>669</v>
      </c>
      <c r="F68" t="s">
        <v>670</v>
      </c>
      <c r="G68" t="s">
        <v>513</v>
      </c>
      <c r="H68" s="1">
        <v>45992</v>
      </c>
      <c r="I68" t="s">
        <v>101</v>
      </c>
      <c r="J68" t="s">
        <v>253</v>
      </c>
      <c r="K68" t="s">
        <v>272</v>
      </c>
      <c r="L68">
        <v>1790000090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3</v>
      </c>
      <c r="AR68">
        <v>0</v>
      </c>
      <c r="AS68">
        <v>14</v>
      </c>
      <c r="AT68">
        <v>16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30</v>
      </c>
      <c r="BC68">
        <v>384667</v>
      </c>
      <c r="BD68" t="s">
        <v>148</v>
      </c>
      <c r="CI68">
        <v>473333</v>
      </c>
    </row>
    <row r="69" spans="1:90" x14ac:dyDescent="0.3">
      <c r="A69">
        <v>68</v>
      </c>
      <c r="B69" t="s">
        <v>518</v>
      </c>
      <c r="C69">
        <v>16518571</v>
      </c>
      <c r="D69" t="s">
        <v>241</v>
      </c>
      <c r="E69" t="s">
        <v>491</v>
      </c>
      <c r="F69" t="s">
        <v>519</v>
      </c>
      <c r="G69" t="s">
        <v>419</v>
      </c>
      <c r="H69" s="1">
        <v>46054</v>
      </c>
      <c r="I69" t="s">
        <v>140</v>
      </c>
      <c r="J69" t="s">
        <v>102</v>
      </c>
      <c r="K69" t="s">
        <v>147</v>
      </c>
      <c r="L69">
        <v>1790000090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2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R69">
        <v>0</v>
      </c>
      <c r="AS69">
        <v>14</v>
      </c>
      <c r="AT69">
        <v>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30</v>
      </c>
      <c r="BC69">
        <v>235333</v>
      </c>
      <c r="BD69" t="s">
        <v>148</v>
      </c>
      <c r="BP69">
        <v>75000</v>
      </c>
      <c r="CI69">
        <v>473333</v>
      </c>
    </row>
    <row r="70" spans="1:90" x14ac:dyDescent="0.3">
      <c r="A70">
        <v>69</v>
      </c>
      <c r="B70" t="s">
        <v>309</v>
      </c>
      <c r="C70">
        <v>13218666</v>
      </c>
      <c r="D70" t="s">
        <v>310</v>
      </c>
      <c r="E70" t="s">
        <v>259</v>
      </c>
      <c r="F70" t="s">
        <v>311</v>
      </c>
      <c r="G70" t="s">
        <v>312</v>
      </c>
      <c r="H70" s="1">
        <v>46092</v>
      </c>
      <c r="I70" t="s">
        <v>140</v>
      </c>
      <c r="J70" t="s">
        <v>102</v>
      </c>
      <c r="K70" t="s">
        <v>243</v>
      </c>
      <c r="L70">
        <v>1790000090</v>
      </c>
      <c r="M70">
        <v>2</v>
      </c>
      <c r="N70">
        <v>2</v>
      </c>
      <c r="O70">
        <v>8</v>
      </c>
      <c r="P70">
        <v>8</v>
      </c>
      <c r="Q70">
        <v>2</v>
      </c>
      <c r="R70">
        <v>2</v>
      </c>
      <c r="S70">
        <v>2</v>
      </c>
      <c r="T70">
        <v>3</v>
      </c>
      <c r="U70">
        <v>3</v>
      </c>
      <c r="V70">
        <v>3</v>
      </c>
      <c r="W70">
        <v>3</v>
      </c>
      <c r="X70">
        <v>3</v>
      </c>
      <c r="Y70">
        <v>3</v>
      </c>
      <c r="Z70">
        <v>3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3</v>
      </c>
      <c r="AG70">
        <v>3</v>
      </c>
      <c r="AR70">
        <v>0</v>
      </c>
      <c r="AS70">
        <v>5</v>
      </c>
      <c r="AT70">
        <v>14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21</v>
      </c>
      <c r="BM70">
        <v>2</v>
      </c>
      <c r="BN70">
        <v>282400</v>
      </c>
      <c r="BP70">
        <v>52500</v>
      </c>
      <c r="CI70">
        <v>0</v>
      </c>
    </row>
    <row r="71" spans="1:90" x14ac:dyDescent="0.3">
      <c r="A71">
        <v>70</v>
      </c>
      <c r="B71" t="s">
        <v>640</v>
      </c>
      <c r="C71">
        <v>18217453</v>
      </c>
      <c r="D71" t="s">
        <v>641</v>
      </c>
      <c r="E71" t="s">
        <v>642</v>
      </c>
      <c r="F71" t="s">
        <v>643</v>
      </c>
      <c r="G71" t="s">
        <v>160</v>
      </c>
      <c r="H71" s="1">
        <v>45992</v>
      </c>
      <c r="I71" t="s">
        <v>140</v>
      </c>
      <c r="J71" t="s">
        <v>102</v>
      </c>
      <c r="K71" t="s">
        <v>208</v>
      </c>
      <c r="L71">
        <v>1790000090</v>
      </c>
      <c r="M71">
        <v>6</v>
      </c>
      <c r="N71">
        <v>6</v>
      </c>
      <c r="O71">
        <v>6</v>
      </c>
      <c r="P71">
        <v>6</v>
      </c>
      <c r="Q71">
        <v>6</v>
      </c>
      <c r="R71">
        <v>6</v>
      </c>
      <c r="S71">
        <v>6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R71">
        <v>0</v>
      </c>
      <c r="AS71">
        <v>0</v>
      </c>
      <c r="AT71">
        <v>14</v>
      </c>
      <c r="AU71">
        <v>0</v>
      </c>
      <c r="AV71">
        <v>0</v>
      </c>
      <c r="AW71">
        <v>7</v>
      </c>
      <c r="AX71">
        <v>0</v>
      </c>
      <c r="AY71">
        <v>0</v>
      </c>
      <c r="AZ71">
        <v>0</v>
      </c>
      <c r="BA71">
        <v>14</v>
      </c>
      <c r="CI71">
        <v>315555</v>
      </c>
    </row>
    <row r="72" spans="1:90" x14ac:dyDescent="0.3">
      <c r="A72">
        <v>71</v>
      </c>
      <c r="B72" t="s">
        <v>398</v>
      </c>
      <c r="C72">
        <v>15043166</v>
      </c>
      <c r="D72" t="s">
        <v>399</v>
      </c>
      <c r="E72" t="s">
        <v>230</v>
      </c>
      <c r="F72" t="s">
        <v>400</v>
      </c>
      <c r="G72" t="s">
        <v>160</v>
      </c>
      <c r="H72" s="1">
        <v>45997</v>
      </c>
      <c r="I72" t="s">
        <v>140</v>
      </c>
      <c r="J72" t="s">
        <v>102</v>
      </c>
      <c r="K72" t="s">
        <v>272</v>
      </c>
      <c r="L72">
        <v>1790000090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  <c r="AR72">
        <v>0</v>
      </c>
      <c r="AS72">
        <v>14</v>
      </c>
      <c r="AT72">
        <v>16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30</v>
      </c>
      <c r="BC72">
        <v>130833</v>
      </c>
      <c r="BD72" t="s">
        <v>148</v>
      </c>
      <c r="BP72">
        <v>75000</v>
      </c>
      <c r="CI72">
        <v>473333</v>
      </c>
      <c r="CJ72">
        <v>213354</v>
      </c>
    </row>
    <row r="73" spans="1:90" x14ac:dyDescent="0.3">
      <c r="A73">
        <v>72</v>
      </c>
      <c r="B73" t="s">
        <v>258</v>
      </c>
      <c r="C73">
        <v>12572374</v>
      </c>
      <c r="D73" t="s">
        <v>150</v>
      </c>
      <c r="E73" t="s">
        <v>259</v>
      </c>
      <c r="F73" t="s">
        <v>260</v>
      </c>
      <c r="G73" t="s">
        <v>202</v>
      </c>
      <c r="H73" s="1">
        <v>46082</v>
      </c>
      <c r="I73" t="s">
        <v>101</v>
      </c>
      <c r="J73" t="s">
        <v>102</v>
      </c>
      <c r="K73" t="s">
        <v>243</v>
      </c>
      <c r="L73">
        <v>1790000090</v>
      </c>
      <c r="M73">
        <v>2</v>
      </c>
      <c r="N73">
        <v>2</v>
      </c>
      <c r="O73">
        <v>8</v>
      </c>
      <c r="P73">
        <v>8</v>
      </c>
      <c r="Q73">
        <v>2</v>
      </c>
      <c r="R73">
        <v>2</v>
      </c>
      <c r="S73">
        <v>2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3</v>
      </c>
      <c r="AA73">
        <v>3</v>
      </c>
      <c r="AB73">
        <v>3</v>
      </c>
      <c r="AC73">
        <v>3</v>
      </c>
      <c r="AD73">
        <v>3</v>
      </c>
      <c r="AE73">
        <v>3</v>
      </c>
      <c r="AF73">
        <v>3</v>
      </c>
      <c r="AG73">
        <v>3</v>
      </c>
      <c r="AR73">
        <v>0</v>
      </c>
      <c r="AS73">
        <v>5</v>
      </c>
      <c r="AT73">
        <v>14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0</v>
      </c>
      <c r="BA73">
        <v>21</v>
      </c>
      <c r="BM73">
        <v>2</v>
      </c>
      <c r="BN73">
        <v>258000</v>
      </c>
      <c r="BP73">
        <v>52500</v>
      </c>
      <c r="CI73">
        <v>157778</v>
      </c>
    </row>
    <row r="74" spans="1:90" x14ac:dyDescent="0.3">
      <c r="A74">
        <v>73</v>
      </c>
      <c r="B74" t="s">
        <v>524</v>
      </c>
      <c r="C74">
        <v>16687732</v>
      </c>
      <c r="D74" t="s">
        <v>150</v>
      </c>
      <c r="E74" t="s">
        <v>525</v>
      </c>
      <c r="F74" t="s">
        <v>526</v>
      </c>
      <c r="G74" t="s">
        <v>233</v>
      </c>
      <c r="H74" s="1">
        <v>46041</v>
      </c>
      <c r="I74" t="s">
        <v>140</v>
      </c>
      <c r="J74" t="s">
        <v>102</v>
      </c>
      <c r="K74" t="s">
        <v>147</v>
      </c>
      <c r="L74">
        <v>1790000090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3</v>
      </c>
      <c r="AI74">
        <v>3</v>
      </c>
      <c r="AJ74">
        <v>3</v>
      </c>
      <c r="AK74">
        <v>3</v>
      </c>
      <c r="AL74">
        <v>3</v>
      </c>
      <c r="AM74">
        <v>3</v>
      </c>
      <c r="AN74">
        <v>3</v>
      </c>
      <c r="AO74">
        <v>3</v>
      </c>
      <c r="AP74">
        <v>3</v>
      </c>
      <c r="AR74">
        <v>0</v>
      </c>
      <c r="AS74">
        <v>14</v>
      </c>
      <c r="AT74">
        <v>16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30</v>
      </c>
      <c r="BC74">
        <v>150000</v>
      </c>
      <c r="BD74" t="s">
        <v>148</v>
      </c>
      <c r="BP74">
        <v>75000</v>
      </c>
      <c r="CI74">
        <v>473333</v>
      </c>
    </row>
    <row r="75" spans="1:90" x14ac:dyDescent="0.3">
      <c r="A75">
        <v>74</v>
      </c>
      <c r="B75" t="s">
        <v>803</v>
      </c>
      <c r="C75">
        <v>20501895</v>
      </c>
      <c r="D75" t="s">
        <v>150</v>
      </c>
      <c r="E75" t="s">
        <v>435</v>
      </c>
      <c r="F75" t="s">
        <v>804</v>
      </c>
      <c r="G75" t="s">
        <v>576</v>
      </c>
      <c r="H75" s="1">
        <v>45981</v>
      </c>
      <c r="I75" t="s">
        <v>140</v>
      </c>
      <c r="J75" t="s">
        <v>102</v>
      </c>
      <c r="K75" t="s">
        <v>208</v>
      </c>
      <c r="L75">
        <v>1790000090</v>
      </c>
      <c r="M75">
        <v>2</v>
      </c>
      <c r="N75">
        <v>2</v>
      </c>
      <c r="O75">
        <v>8</v>
      </c>
      <c r="P75">
        <v>8</v>
      </c>
      <c r="Q75">
        <v>2</v>
      </c>
      <c r="R75">
        <v>2</v>
      </c>
      <c r="S75">
        <v>2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R75">
        <v>0</v>
      </c>
      <c r="AS75">
        <v>5</v>
      </c>
      <c r="AT75">
        <v>14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0</v>
      </c>
      <c r="BA75">
        <v>21</v>
      </c>
      <c r="BE75">
        <v>43750</v>
      </c>
      <c r="BF75" t="s">
        <v>577</v>
      </c>
      <c r="BM75">
        <v>2</v>
      </c>
      <c r="BN75">
        <v>169500</v>
      </c>
      <c r="BP75">
        <v>52500</v>
      </c>
      <c r="CI75">
        <v>315555</v>
      </c>
    </row>
    <row r="76" spans="1:90" x14ac:dyDescent="0.3">
      <c r="A76">
        <v>75</v>
      </c>
      <c r="B76" t="s">
        <v>239</v>
      </c>
      <c r="C76">
        <v>12397806</v>
      </c>
      <c r="D76" t="s">
        <v>240</v>
      </c>
      <c r="E76" t="s">
        <v>241</v>
      </c>
      <c r="F76" t="s">
        <v>242</v>
      </c>
      <c r="G76" t="s">
        <v>233</v>
      </c>
      <c r="H76" s="1">
        <v>46064</v>
      </c>
      <c r="I76" t="s">
        <v>140</v>
      </c>
      <c r="J76" t="s">
        <v>102</v>
      </c>
      <c r="K76" t="s">
        <v>243</v>
      </c>
      <c r="L76">
        <v>1790000090</v>
      </c>
      <c r="M76">
        <v>2</v>
      </c>
      <c r="N76">
        <v>2</v>
      </c>
      <c r="O76">
        <v>8</v>
      </c>
      <c r="P76">
        <v>8</v>
      </c>
      <c r="Q76">
        <v>2</v>
      </c>
      <c r="R76">
        <v>2</v>
      </c>
      <c r="S76">
        <v>2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R76">
        <v>0</v>
      </c>
      <c r="AS76">
        <v>5</v>
      </c>
      <c r="AT76">
        <v>14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21</v>
      </c>
      <c r="BM76">
        <v>2</v>
      </c>
      <c r="BN76">
        <v>180000</v>
      </c>
      <c r="BP76">
        <v>52500</v>
      </c>
      <c r="CI76">
        <v>157778</v>
      </c>
    </row>
    <row r="77" spans="1:90" x14ac:dyDescent="0.3">
      <c r="A77">
        <v>76</v>
      </c>
      <c r="B77" t="s">
        <v>823</v>
      </c>
      <c r="C77">
        <v>20999190</v>
      </c>
      <c r="D77" t="s">
        <v>240</v>
      </c>
      <c r="E77" t="s">
        <v>259</v>
      </c>
      <c r="F77" t="s">
        <v>824</v>
      </c>
      <c r="G77" t="s">
        <v>576</v>
      </c>
      <c r="H77" s="1">
        <v>46003</v>
      </c>
      <c r="I77" t="s">
        <v>140</v>
      </c>
      <c r="J77" t="s">
        <v>102</v>
      </c>
      <c r="K77" t="s">
        <v>147</v>
      </c>
      <c r="L77">
        <v>1790000090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3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  <c r="AR77">
        <v>0</v>
      </c>
      <c r="AS77">
        <v>14</v>
      </c>
      <c r="AT77">
        <v>16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30</v>
      </c>
      <c r="BC77">
        <v>141250</v>
      </c>
      <c r="BD77" t="s">
        <v>148</v>
      </c>
      <c r="BE77">
        <v>62500.000000000007</v>
      </c>
      <c r="BF77" t="s">
        <v>577</v>
      </c>
      <c r="BP77">
        <v>75000</v>
      </c>
      <c r="CI77">
        <v>473333</v>
      </c>
      <c r="CJ77">
        <v>213354</v>
      </c>
    </row>
    <row r="78" spans="1:90" x14ac:dyDescent="0.3">
      <c r="A78">
        <v>77</v>
      </c>
      <c r="B78" t="s">
        <v>782</v>
      </c>
      <c r="C78">
        <v>20229876</v>
      </c>
      <c r="D78" t="s">
        <v>783</v>
      </c>
      <c r="E78" t="s">
        <v>784</v>
      </c>
      <c r="F78" t="s">
        <v>785</v>
      </c>
      <c r="G78" t="s">
        <v>160</v>
      </c>
      <c r="H78" s="1">
        <v>45987</v>
      </c>
      <c r="I78" t="s">
        <v>140</v>
      </c>
      <c r="J78" t="s">
        <v>102</v>
      </c>
      <c r="K78" t="s">
        <v>208</v>
      </c>
      <c r="L78">
        <v>1790000090</v>
      </c>
      <c r="M78">
        <v>2</v>
      </c>
      <c r="N78">
        <v>2</v>
      </c>
      <c r="O78">
        <v>8</v>
      </c>
      <c r="P78">
        <v>8</v>
      </c>
      <c r="Q78">
        <v>2</v>
      </c>
      <c r="R78">
        <v>2</v>
      </c>
      <c r="S78">
        <v>2</v>
      </c>
      <c r="T78">
        <v>3</v>
      </c>
      <c r="U78">
        <v>3</v>
      </c>
      <c r="V78">
        <v>3</v>
      </c>
      <c r="W78">
        <v>3</v>
      </c>
      <c r="X78">
        <v>3</v>
      </c>
      <c r="Y78">
        <v>3</v>
      </c>
      <c r="Z78">
        <v>3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R78">
        <v>0</v>
      </c>
      <c r="AS78">
        <v>5</v>
      </c>
      <c r="AT78">
        <v>14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0</v>
      </c>
      <c r="BA78">
        <v>21</v>
      </c>
      <c r="BM78">
        <v>2</v>
      </c>
      <c r="BN78">
        <v>157000</v>
      </c>
      <c r="BP78">
        <v>52500</v>
      </c>
      <c r="CI78">
        <v>315555</v>
      </c>
    </row>
    <row r="79" spans="1:90" x14ac:dyDescent="0.3">
      <c r="A79">
        <v>78</v>
      </c>
      <c r="B79" t="s">
        <v>686</v>
      </c>
      <c r="C79">
        <v>18968220</v>
      </c>
      <c r="D79" t="s">
        <v>396</v>
      </c>
      <c r="E79" t="s">
        <v>431</v>
      </c>
      <c r="F79" t="s">
        <v>687</v>
      </c>
      <c r="G79" t="s">
        <v>160</v>
      </c>
      <c r="H79" s="1">
        <v>45992</v>
      </c>
      <c r="I79" t="s">
        <v>140</v>
      </c>
      <c r="J79" t="s">
        <v>102</v>
      </c>
      <c r="K79" t="s">
        <v>208</v>
      </c>
      <c r="L79">
        <v>1790000090</v>
      </c>
      <c r="M79">
        <v>2</v>
      </c>
      <c r="N79">
        <v>2</v>
      </c>
      <c r="O79">
        <v>8</v>
      </c>
      <c r="P79">
        <v>8</v>
      </c>
      <c r="Q79">
        <v>2</v>
      </c>
      <c r="R79">
        <v>2</v>
      </c>
      <c r="S79">
        <v>2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2</v>
      </c>
      <c r="AI79">
        <v>2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2</v>
      </c>
      <c r="AP79">
        <v>2</v>
      </c>
      <c r="AR79">
        <v>0</v>
      </c>
      <c r="AS79">
        <v>14</v>
      </c>
      <c r="AT79">
        <v>14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30</v>
      </c>
      <c r="BM79">
        <v>2</v>
      </c>
      <c r="BN79">
        <v>157000</v>
      </c>
      <c r="BP79">
        <v>75000</v>
      </c>
      <c r="CI79">
        <v>473333</v>
      </c>
    </row>
    <row r="80" spans="1:90" x14ac:dyDescent="0.3">
      <c r="A80">
        <v>79</v>
      </c>
      <c r="B80" t="s">
        <v>574</v>
      </c>
      <c r="C80">
        <v>17362561</v>
      </c>
      <c r="D80" t="s">
        <v>296</v>
      </c>
      <c r="E80" t="s">
        <v>364</v>
      </c>
      <c r="F80" t="s">
        <v>575</v>
      </c>
      <c r="G80" t="s">
        <v>576</v>
      </c>
      <c r="H80" s="1">
        <v>45992</v>
      </c>
      <c r="I80" t="s">
        <v>140</v>
      </c>
      <c r="J80" t="s">
        <v>102</v>
      </c>
      <c r="K80" t="s">
        <v>208</v>
      </c>
      <c r="L80">
        <v>1790000090</v>
      </c>
      <c r="M80">
        <v>2</v>
      </c>
      <c r="N80">
        <v>2</v>
      </c>
      <c r="O80">
        <v>8</v>
      </c>
      <c r="P80">
        <v>8</v>
      </c>
      <c r="Q80">
        <v>2</v>
      </c>
      <c r="R80">
        <v>2</v>
      </c>
      <c r="S80">
        <v>2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2</v>
      </c>
      <c r="AI80">
        <v>2</v>
      </c>
      <c r="AJ80">
        <v>2</v>
      </c>
      <c r="AK80">
        <v>2</v>
      </c>
      <c r="AL80">
        <v>2</v>
      </c>
      <c r="AM80">
        <v>2</v>
      </c>
      <c r="AN80">
        <v>2</v>
      </c>
      <c r="AO80">
        <v>2</v>
      </c>
      <c r="AP80">
        <v>2</v>
      </c>
      <c r="AR80">
        <v>0</v>
      </c>
      <c r="AS80">
        <v>14</v>
      </c>
      <c r="AT80">
        <v>14</v>
      </c>
      <c r="AU80">
        <v>0</v>
      </c>
      <c r="AV80">
        <v>0</v>
      </c>
      <c r="AW80">
        <v>0</v>
      </c>
      <c r="AX80">
        <v>0</v>
      </c>
      <c r="AY80">
        <v>2</v>
      </c>
      <c r="AZ80">
        <v>0</v>
      </c>
      <c r="BA80">
        <v>30</v>
      </c>
      <c r="BE80">
        <v>62500.000000000007</v>
      </c>
      <c r="BF80" t="s">
        <v>577</v>
      </c>
      <c r="BM80">
        <v>2</v>
      </c>
      <c r="BN80">
        <v>169500</v>
      </c>
      <c r="BP80">
        <v>75000</v>
      </c>
      <c r="CI80">
        <v>473333</v>
      </c>
    </row>
    <row r="81" spans="1:88" x14ac:dyDescent="0.3">
      <c r="A81">
        <v>80</v>
      </c>
      <c r="B81" t="s">
        <v>835</v>
      </c>
      <c r="C81">
        <v>21624367</v>
      </c>
      <c r="D81" t="s">
        <v>296</v>
      </c>
      <c r="E81" t="s">
        <v>143</v>
      </c>
      <c r="F81" t="s">
        <v>836</v>
      </c>
      <c r="G81" t="s">
        <v>576</v>
      </c>
      <c r="H81" s="1">
        <v>46003</v>
      </c>
      <c r="I81" t="s">
        <v>140</v>
      </c>
      <c r="J81" t="s">
        <v>102</v>
      </c>
      <c r="K81" t="s">
        <v>147</v>
      </c>
      <c r="L81">
        <v>1790000090</v>
      </c>
      <c r="M81">
        <v>3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R81">
        <v>0</v>
      </c>
      <c r="AS81">
        <v>14</v>
      </c>
      <c r="AT81">
        <v>16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30</v>
      </c>
      <c r="BC81">
        <v>141250</v>
      </c>
      <c r="BD81" t="s">
        <v>148</v>
      </c>
      <c r="BE81">
        <v>62500.000000000007</v>
      </c>
      <c r="BF81" t="s">
        <v>577</v>
      </c>
      <c r="BP81">
        <v>75000</v>
      </c>
      <c r="CI81">
        <v>473333</v>
      </c>
      <c r="CJ81">
        <v>213354</v>
      </c>
    </row>
    <row r="82" spans="1:88" x14ac:dyDescent="0.3">
      <c r="A82">
        <v>81</v>
      </c>
      <c r="B82" t="s">
        <v>805</v>
      </c>
      <c r="C82">
        <v>20517481</v>
      </c>
      <c r="D82" t="s">
        <v>731</v>
      </c>
      <c r="E82" t="s">
        <v>296</v>
      </c>
      <c r="F82" t="s">
        <v>806</v>
      </c>
      <c r="G82" t="s">
        <v>160</v>
      </c>
      <c r="H82" s="1">
        <v>46003</v>
      </c>
      <c r="I82" t="s">
        <v>140</v>
      </c>
      <c r="J82" t="s">
        <v>102</v>
      </c>
      <c r="K82" t="s">
        <v>147</v>
      </c>
      <c r="L82">
        <v>1790000090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6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3</v>
      </c>
      <c r="AI82">
        <v>3</v>
      </c>
      <c r="AJ82">
        <v>3</v>
      </c>
      <c r="AK82">
        <v>3</v>
      </c>
      <c r="AL82">
        <v>3</v>
      </c>
      <c r="AM82">
        <v>3</v>
      </c>
      <c r="AN82">
        <v>3</v>
      </c>
      <c r="AO82">
        <v>3</v>
      </c>
      <c r="AP82">
        <v>3</v>
      </c>
      <c r="AR82">
        <v>0</v>
      </c>
      <c r="AS82">
        <v>13</v>
      </c>
      <c r="AT82">
        <v>16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29</v>
      </c>
      <c r="BC82">
        <v>130833</v>
      </c>
      <c r="BD82" t="s">
        <v>148</v>
      </c>
      <c r="CI82">
        <v>473333</v>
      </c>
      <c r="CJ82">
        <v>213354</v>
      </c>
    </row>
    <row r="83" spans="1:88" x14ac:dyDescent="0.3">
      <c r="A83">
        <v>82</v>
      </c>
      <c r="B83" t="s">
        <v>886</v>
      </c>
      <c r="C83">
        <v>28087199</v>
      </c>
      <c r="D83" t="s">
        <v>887</v>
      </c>
      <c r="E83" t="s">
        <v>216</v>
      </c>
      <c r="F83" t="s">
        <v>888</v>
      </c>
      <c r="G83" t="s">
        <v>569</v>
      </c>
      <c r="H83" s="1">
        <v>46357</v>
      </c>
      <c r="I83" t="s">
        <v>140</v>
      </c>
      <c r="J83" t="s">
        <v>102</v>
      </c>
      <c r="K83" t="s">
        <v>208</v>
      </c>
      <c r="L83">
        <v>1790000090</v>
      </c>
      <c r="M83">
        <v>2</v>
      </c>
      <c r="N83">
        <v>2</v>
      </c>
      <c r="O83">
        <v>8</v>
      </c>
      <c r="P83">
        <v>8</v>
      </c>
      <c r="Q83">
        <v>2</v>
      </c>
      <c r="R83">
        <v>2</v>
      </c>
      <c r="S83">
        <v>2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R83">
        <v>0</v>
      </c>
      <c r="AS83">
        <v>5</v>
      </c>
      <c r="AT83">
        <v>14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0</v>
      </c>
      <c r="BA83">
        <v>21</v>
      </c>
      <c r="BM83">
        <v>2</v>
      </c>
      <c r="BN83">
        <v>310000</v>
      </c>
      <c r="BP83">
        <v>52500</v>
      </c>
      <c r="CI83">
        <v>315555</v>
      </c>
    </row>
    <row r="84" spans="1:88" x14ac:dyDescent="0.3">
      <c r="A84">
        <v>83</v>
      </c>
      <c r="B84" t="s">
        <v>840</v>
      </c>
      <c r="C84">
        <v>23983246</v>
      </c>
      <c r="D84" t="s">
        <v>841</v>
      </c>
      <c r="E84" t="s">
        <v>842</v>
      </c>
      <c r="F84" t="s">
        <v>843</v>
      </c>
      <c r="G84" t="s">
        <v>233</v>
      </c>
      <c r="H84" s="1">
        <v>46082</v>
      </c>
      <c r="I84" t="s">
        <v>140</v>
      </c>
      <c r="J84" t="s">
        <v>102</v>
      </c>
      <c r="K84" t="s">
        <v>243</v>
      </c>
      <c r="L84">
        <v>1790000090</v>
      </c>
      <c r="M84">
        <v>2</v>
      </c>
      <c r="N84">
        <v>2</v>
      </c>
      <c r="O84">
        <v>8</v>
      </c>
      <c r="P84">
        <v>8</v>
      </c>
      <c r="Q84">
        <v>2</v>
      </c>
      <c r="R84">
        <v>2</v>
      </c>
      <c r="S84">
        <v>2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R84">
        <v>0</v>
      </c>
      <c r="AS84">
        <v>5</v>
      </c>
      <c r="AT84">
        <v>14</v>
      </c>
      <c r="AU84">
        <v>0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21</v>
      </c>
      <c r="BM84">
        <v>2</v>
      </c>
      <c r="BN84">
        <v>180000</v>
      </c>
      <c r="BP84">
        <v>52500</v>
      </c>
      <c r="CI84">
        <v>157778</v>
      </c>
    </row>
    <row r="85" spans="1:88" x14ac:dyDescent="0.3">
      <c r="A85">
        <v>84</v>
      </c>
      <c r="B85" t="s">
        <v>156</v>
      </c>
      <c r="C85">
        <v>10147391</v>
      </c>
      <c r="D85" t="s">
        <v>157</v>
      </c>
      <c r="E85" t="s">
        <v>158</v>
      </c>
      <c r="F85" t="s">
        <v>159</v>
      </c>
      <c r="G85" t="s">
        <v>160</v>
      </c>
      <c r="H85" s="1">
        <v>45992</v>
      </c>
      <c r="I85" t="s">
        <v>140</v>
      </c>
      <c r="J85" t="s">
        <v>102</v>
      </c>
      <c r="K85" t="s">
        <v>147</v>
      </c>
      <c r="L85">
        <v>1790000090</v>
      </c>
      <c r="M85">
        <v>3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3</v>
      </c>
      <c r="AI85">
        <v>3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R85">
        <v>0</v>
      </c>
      <c r="AS85">
        <v>14</v>
      </c>
      <c r="AT85">
        <v>16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30</v>
      </c>
      <c r="BC85">
        <v>130833</v>
      </c>
      <c r="BD85" t="s">
        <v>148</v>
      </c>
      <c r="BP85">
        <v>75000</v>
      </c>
      <c r="CI85">
        <v>473333</v>
      </c>
      <c r="CJ85">
        <v>213354</v>
      </c>
    </row>
    <row r="86" spans="1:88" x14ac:dyDescent="0.3">
      <c r="A86">
        <v>85</v>
      </c>
      <c r="B86" t="s">
        <v>664</v>
      </c>
      <c r="C86">
        <v>18353315</v>
      </c>
      <c r="D86" t="s">
        <v>665</v>
      </c>
      <c r="E86" t="s">
        <v>336</v>
      </c>
      <c r="F86" t="s">
        <v>666</v>
      </c>
      <c r="G86" t="s">
        <v>233</v>
      </c>
      <c r="H86" s="1">
        <v>46023</v>
      </c>
      <c r="I86" t="s">
        <v>140</v>
      </c>
      <c r="J86" t="s">
        <v>102</v>
      </c>
      <c r="K86" t="s">
        <v>208</v>
      </c>
      <c r="L86">
        <v>1790000090</v>
      </c>
      <c r="M86">
        <v>2</v>
      </c>
      <c r="N86">
        <v>2</v>
      </c>
      <c r="O86">
        <v>8</v>
      </c>
      <c r="P86">
        <v>8</v>
      </c>
      <c r="Q86">
        <v>2</v>
      </c>
      <c r="R86">
        <v>2</v>
      </c>
      <c r="S86">
        <v>2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R86">
        <v>0</v>
      </c>
      <c r="AS86">
        <v>5</v>
      </c>
      <c r="AT86">
        <v>14</v>
      </c>
      <c r="AU86">
        <v>0</v>
      </c>
      <c r="AV86">
        <v>0</v>
      </c>
      <c r="AW86">
        <v>0</v>
      </c>
      <c r="AX86">
        <v>0</v>
      </c>
      <c r="AY86">
        <v>2</v>
      </c>
      <c r="AZ86">
        <v>0</v>
      </c>
      <c r="BA86">
        <v>21</v>
      </c>
      <c r="BM86">
        <v>2</v>
      </c>
      <c r="BN86">
        <v>180000</v>
      </c>
      <c r="BP86">
        <v>52500</v>
      </c>
      <c r="CI86">
        <v>315555</v>
      </c>
    </row>
    <row r="87" spans="1:88" x14ac:dyDescent="0.3">
      <c r="A87">
        <v>86</v>
      </c>
      <c r="B87" t="s">
        <v>476</v>
      </c>
      <c r="C87">
        <v>15982591</v>
      </c>
      <c r="D87" t="s">
        <v>477</v>
      </c>
      <c r="E87" t="s">
        <v>478</v>
      </c>
      <c r="F87" t="s">
        <v>479</v>
      </c>
      <c r="G87" t="s">
        <v>480</v>
      </c>
      <c r="H87" s="1">
        <v>45962</v>
      </c>
      <c r="I87" t="s">
        <v>101</v>
      </c>
      <c r="J87" t="s">
        <v>102</v>
      </c>
      <c r="K87" t="s">
        <v>109</v>
      </c>
      <c r="L87">
        <v>1790000090</v>
      </c>
      <c r="M87">
        <v>2</v>
      </c>
      <c r="N87">
        <v>2</v>
      </c>
      <c r="O87">
        <v>3</v>
      </c>
      <c r="P87">
        <v>3</v>
      </c>
      <c r="Q87">
        <v>3</v>
      </c>
      <c r="R87">
        <v>2</v>
      </c>
      <c r="S87">
        <v>2</v>
      </c>
      <c r="T87">
        <v>2</v>
      </c>
      <c r="U87">
        <v>2</v>
      </c>
      <c r="V87">
        <v>3</v>
      </c>
      <c r="W87">
        <v>3</v>
      </c>
      <c r="X87">
        <v>3</v>
      </c>
      <c r="Y87">
        <v>2</v>
      </c>
      <c r="Z87">
        <v>2</v>
      </c>
      <c r="AA87">
        <v>2</v>
      </c>
      <c r="AB87">
        <v>2</v>
      </c>
      <c r="AC87">
        <v>3</v>
      </c>
      <c r="AD87">
        <v>3</v>
      </c>
      <c r="AE87">
        <v>3</v>
      </c>
      <c r="AF87">
        <v>2</v>
      </c>
      <c r="AG87">
        <v>2</v>
      </c>
      <c r="AH87">
        <v>2</v>
      </c>
      <c r="AI87">
        <v>2</v>
      </c>
      <c r="AJ87">
        <v>3</v>
      </c>
      <c r="AK87">
        <v>3</v>
      </c>
      <c r="AL87">
        <v>3</v>
      </c>
      <c r="AM87">
        <v>2</v>
      </c>
      <c r="AN87">
        <v>2</v>
      </c>
      <c r="AO87">
        <v>2</v>
      </c>
      <c r="AP87">
        <v>2</v>
      </c>
      <c r="AR87">
        <v>0</v>
      </c>
      <c r="AS87">
        <v>18</v>
      </c>
      <c r="AT87">
        <v>12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30</v>
      </c>
      <c r="BE87">
        <v>940000</v>
      </c>
      <c r="BF87" t="s">
        <v>273</v>
      </c>
      <c r="CI87">
        <v>473333</v>
      </c>
    </row>
    <row r="88" spans="1:88" x14ac:dyDescent="0.3">
      <c r="A88">
        <v>87</v>
      </c>
      <c r="B88" t="s">
        <v>877</v>
      </c>
      <c r="C88">
        <v>27900677</v>
      </c>
      <c r="D88" t="s">
        <v>878</v>
      </c>
      <c r="E88" t="s">
        <v>879</v>
      </c>
      <c r="F88" t="s">
        <v>880</v>
      </c>
      <c r="G88" t="s">
        <v>160</v>
      </c>
      <c r="H88" s="1">
        <v>46082</v>
      </c>
      <c r="I88" t="s">
        <v>140</v>
      </c>
      <c r="J88" t="s">
        <v>102</v>
      </c>
      <c r="K88" t="s">
        <v>243</v>
      </c>
      <c r="L88">
        <v>1790000090</v>
      </c>
      <c r="M88">
        <v>2</v>
      </c>
      <c r="N88">
        <v>2</v>
      </c>
      <c r="O88">
        <v>8</v>
      </c>
      <c r="P88">
        <v>8</v>
      </c>
      <c r="Q88">
        <v>2</v>
      </c>
      <c r="R88">
        <v>2</v>
      </c>
      <c r="S88">
        <v>2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R88">
        <v>0</v>
      </c>
      <c r="AS88">
        <v>5</v>
      </c>
      <c r="AT88">
        <v>14</v>
      </c>
      <c r="AU88">
        <v>0</v>
      </c>
      <c r="AV88">
        <v>0</v>
      </c>
      <c r="AW88">
        <v>0</v>
      </c>
      <c r="AX88">
        <v>0</v>
      </c>
      <c r="AY88">
        <v>2</v>
      </c>
      <c r="AZ88">
        <v>0</v>
      </c>
      <c r="BA88">
        <v>21</v>
      </c>
      <c r="BM88">
        <v>2</v>
      </c>
      <c r="BN88">
        <v>157000</v>
      </c>
      <c r="BP88">
        <v>52500</v>
      </c>
      <c r="CI88">
        <v>157778</v>
      </c>
    </row>
    <row r="89" spans="1:88" x14ac:dyDescent="0.3">
      <c r="A89">
        <v>88</v>
      </c>
      <c r="B89" t="s">
        <v>457</v>
      </c>
      <c r="C89">
        <v>15876024</v>
      </c>
      <c r="D89" t="s">
        <v>458</v>
      </c>
      <c r="E89" t="s">
        <v>411</v>
      </c>
      <c r="F89" t="s">
        <v>459</v>
      </c>
      <c r="G89" t="s">
        <v>460</v>
      </c>
      <c r="H89" s="1">
        <v>46069</v>
      </c>
      <c r="I89" t="s">
        <v>140</v>
      </c>
      <c r="J89" t="s">
        <v>102</v>
      </c>
      <c r="K89" t="s">
        <v>147</v>
      </c>
      <c r="L89">
        <v>1790000090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3</v>
      </c>
      <c r="AI89">
        <v>3</v>
      </c>
      <c r="AJ89">
        <v>3</v>
      </c>
      <c r="AK89">
        <v>3</v>
      </c>
      <c r="AL89">
        <v>3</v>
      </c>
      <c r="AM89">
        <v>3</v>
      </c>
      <c r="AN89">
        <v>3</v>
      </c>
      <c r="AO89">
        <v>3</v>
      </c>
      <c r="AP89">
        <v>3</v>
      </c>
      <c r="AR89">
        <v>0</v>
      </c>
      <c r="AS89">
        <v>14</v>
      </c>
      <c r="AT89">
        <v>16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30</v>
      </c>
      <c r="BC89">
        <v>150000</v>
      </c>
      <c r="BD89" t="s">
        <v>148</v>
      </c>
      <c r="BP89">
        <v>75000</v>
      </c>
      <c r="CI89">
        <v>315556</v>
      </c>
    </row>
    <row r="90" spans="1:88" x14ac:dyDescent="0.3">
      <c r="A90">
        <v>89</v>
      </c>
      <c r="B90" t="s">
        <v>671</v>
      </c>
      <c r="C90">
        <v>18444978</v>
      </c>
      <c r="D90" t="s">
        <v>672</v>
      </c>
      <c r="E90" t="s">
        <v>673</v>
      </c>
      <c r="F90" t="s">
        <v>674</v>
      </c>
      <c r="G90" t="s">
        <v>146</v>
      </c>
      <c r="H90" s="1">
        <v>45987</v>
      </c>
      <c r="I90" t="s">
        <v>140</v>
      </c>
      <c r="J90" t="s">
        <v>102</v>
      </c>
      <c r="K90" t="s">
        <v>208</v>
      </c>
      <c r="L90">
        <v>1790000090</v>
      </c>
      <c r="M90">
        <v>2</v>
      </c>
      <c r="N90">
        <v>2</v>
      </c>
      <c r="O90">
        <v>8</v>
      </c>
      <c r="P90">
        <v>8</v>
      </c>
      <c r="Q90">
        <v>2</v>
      </c>
      <c r="R90">
        <v>2</v>
      </c>
      <c r="S90">
        <v>2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>
        <v>3</v>
      </c>
      <c r="AD90">
        <v>3</v>
      </c>
      <c r="AE90">
        <v>3</v>
      </c>
      <c r="AF90">
        <v>3</v>
      </c>
      <c r="AG90">
        <v>3</v>
      </c>
      <c r="AR90">
        <v>0</v>
      </c>
      <c r="AS90">
        <v>5</v>
      </c>
      <c r="AT90">
        <v>14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</v>
      </c>
      <c r="BA90">
        <v>21</v>
      </c>
      <c r="BM90">
        <v>2</v>
      </c>
      <c r="BN90">
        <v>282400</v>
      </c>
      <c r="BP90">
        <v>52500</v>
      </c>
      <c r="CI90">
        <v>315555</v>
      </c>
    </row>
    <row r="91" spans="1:88" x14ac:dyDescent="0.3">
      <c r="A91">
        <v>90</v>
      </c>
      <c r="B91" t="s">
        <v>690</v>
      </c>
      <c r="C91">
        <v>19046867</v>
      </c>
      <c r="D91" t="s">
        <v>440</v>
      </c>
      <c r="E91" t="s">
        <v>691</v>
      </c>
      <c r="F91" t="s">
        <v>575</v>
      </c>
      <c r="G91" t="s">
        <v>160</v>
      </c>
      <c r="H91" s="1">
        <v>45987</v>
      </c>
      <c r="I91" t="s">
        <v>140</v>
      </c>
      <c r="J91" t="s">
        <v>102</v>
      </c>
      <c r="K91" t="s">
        <v>208</v>
      </c>
      <c r="L91">
        <v>1790000090</v>
      </c>
      <c r="M91">
        <v>2</v>
      </c>
      <c r="N91">
        <v>2</v>
      </c>
      <c r="O91">
        <v>8</v>
      </c>
      <c r="P91">
        <v>8</v>
      </c>
      <c r="Q91">
        <v>2</v>
      </c>
      <c r="R91">
        <v>2</v>
      </c>
      <c r="S91">
        <v>2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R91">
        <v>0</v>
      </c>
      <c r="AS91">
        <v>5</v>
      </c>
      <c r="AT91">
        <v>14</v>
      </c>
      <c r="AU91">
        <v>0</v>
      </c>
      <c r="AV91">
        <v>0</v>
      </c>
      <c r="AW91">
        <v>0</v>
      </c>
      <c r="AX91">
        <v>0</v>
      </c>
      <c r="AY91">
        <v>2</v>
      </c>
      <c r="AZ91">
        <v>0</v>
      </c>
      <c r="BA91">
        <v>21</v>
      </c>
      <c r="BM91">
        <v>2</v>
      </c>
      <c r="BN91">
        <v>157000</v>
      </c>
      <c r="BP91">
        <v>52500</v>
      </c>
      <c r="CI91">
        <v>315555</v>
      </c>
    </row>
    <row r="92" spans="1:88" x14ac:dyDescent="0.3">
      <c r="A92">
        <v>91</v>
      </c>
      <c r="B92" t="s">
        <v>330</v>
      </c>
      <c r="C92">
        <v>13534540</v>
      </c>
      <c r="D92" t="s">
        <v>331</v>
      </c>
      <c r="E92" t="s">
        <v>332</v>
      </c>
      <c r="F92" t="s">
        <v>333</v>
      </c>
      <c r="G92" t="s">
        <v>160</v>
      </c>
      <c r="H92" s="1">
        <v>45992</v>
      </c>
      <c r="I92" t="s">
        <v>140</v>
      </c>
      <c r="J92" t="s">
        <v>102</v>
      </c>
      <c r="K92" t="s">
        <v>272</v>
      </c>
      <c r="L92">
        <v>1790000090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R92">
        <v>0</v>
      </c>
      <c r="AS92">
        <v>14</v>
      </c>
      <c r="AT92">
        <v>16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30</v>
      </c>
      <c r="BC92">
        <v>130833</v>
      </c>
      <c r="BD92" t="s">
        <v>148</v>
      </c>
      <c r="BP92">
        <v>75000</v>
      </c>
      <c r="CI92">
        <v>473333</v>
      </c>
      <c r="CJ92">
        <v>213354</v>
      </c>
    </row>
    <row r="93" spans="1:88" x14ac:dyDescent="0.3">
      <c r="A93">
        <v>92</v>
      </c>
      <c r="B93" t="s">
        <v>350</v>
      </c>
      <c r="C93">
        <v>13976044</v>
      </c>
      <c r="D93" t="s">
        <v>351</v>
      </c>
      <c r="E93" t="s">
        <v>157</v>
      </c>
      <c r="F93" t="s">
        <v>352</v>
      </c>
      <c r="G93" t="s">
        <v>353</v>
      </c>
      <c r="H93" s="1">
        <v>45997</v>
      </c>
      <c r="I93" t="s">
        <v>140</v>
      </c>
      <c r="J93" t="s">
        <v>102</v>
      </c>
      <c r="K93" t="s">
        <v>272</v>
      </c>
      <c r="L93">
        <v>1790000090</v>
      </c>
      <c r="M93">
        <v>3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3</v>
      </c>
      <c r="AI93">
        <v>3</v>
      </c>
      <c r="AJ93">
        <v>3</v>
      </c>
      <c r="AK93">
        <v>3</v>
      </c>
      <c r="AL93">
        <v>3</v>
      </c>
      <c r="AM93">
        <v>3</v>
      </c>
      <c r="AN93">
        <v>3</v>
      </c>
      <c r="AO93">
        <v>3</v>
      </c>
      <c r="AP93">
        <v>3</v>
      </c>
      <c r="AR93">
        <v>0</v>
      </c>
      <c r="AS93">
        <v>14</v>
      </c>
      <c r="AT93">
        <v>16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30</v>
      </c>
      <c r="BC93">
        <v>235333</v>
      </c>
      <c r="BD93" t="s">
        <v>148</v>
      </c>
      <c r="BP93">
        <v>75000</v>
      </c>
      <c r="CI93">
        <v>473333</v>
      </c>
    </row>
    <row r="94" spans="1:88" x14ac:dyDescent="0.3">
      <c r="A94">
        <v>93</v>
      </c>
      <c r="B94" t="s">
        <v>520</v>
      </c>
      <c r="C94">
        <v>16538795</v>
      </c>
      <c r="D94" t="s">
        <v>521</v>
      </c>
      <c r="E94" t="s">
        <v>522</v>
      </c>
      <c r="F94" t="s">
        <v>523</v>
      </c>
      <c r="G94" t="s">
        <v>189</v>
      </c>
      <c r="H94" s="1">
        <v>45992</v>
      </c>
      <c r="I94" t="s">
        <v>140</v>
      </c>
      <c r="J94" t="s">
        <v>102</v>
      </c>
      <c r="K94" t="s">
        <v>208</v>
      </c>
      <c r="L94">
        <v>1790000090</v>
      </c>
      <c r="M94">
        <v>2</v>
      </c>
      <c r="N94">
        <v>2</v>
      </c>
      <c r="O94">
        <v>8</v>
      </c>
      <c r="P94">
        <v>8</v>
      </c>
      <c r="Q94">
        <v>2</v>
      </c>
      <c r="R94">
        <v>2</v>
      </c>
      <c r="S94">
        <v>2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R94">
        <v>0</v>
      </c>
      <c r="AS94">
        <v>14</v>
      </c>
      <c r="AT94">
        <v>14</v>
      </c>
      <c r="AU94">
        <v>0</v>
      </c>
      <c r="AV94">
        <v>0</v>
      </c>
      <c r="AW94">
        <v>0</v>
      </c>
      <c r="AX94">
        <v>0</v>
      </c>
      <c r="AY94">
        <v>2</v>
      </c>
      <c r="AZ94">
        <v>0</v>
      </c>
      <c r="BA94">
        <v>30</v>
      </c>
      <c r="BM94">
        <v>2</v>
      </c>
      <c r="BN94">
        <v>320000</v>
      </c>
      <c r="BP94">
        <v>75000</v>
      </c>
      <c r="CI94">
        <v>473333</v>
      </c>
    </row>
    <row r="95" spans="1:88" x14ac:dyDescent="0.3">
      <c r="A95">
        <v>94</v>
      </c>
      <c r="B95" t="s">
        <v>762</v>
      </c>
      <c r="C95">
        <v>19863925</v>
      </c>
      <c r="D95" t="s">
        <v>676</v>
      </c>
      <c r="E95" t="s">
        <v>763</v>
      </c>
      <c r="F95" t="s">
        <v>764</v>
      </c>
      <c r="G95" t="s">
        <v>659</v>
      </c>
      <c r="H95" s="1">
        <v>45957</v>
      </c>
      <c r="I95" t="s">
        <v>101</v>
      </c>
      <c r="J95" t="s">
        <v>253</v>
      </c>
      <c r="K95" t="s">
        <v>279</v>
      </c>
      <c r="L95">
        <v>1790000090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3</v>
      </c>
      <c r="AP95">
        <v>3</v>
      </c>
      <c r="AR95">
        <v>0</v>
      </c>
      <c r="AS95">
        <v>0</v>
      </c>
      <c r="AT95">
        <v>16</v>
      </c>
      <c r="AU95">
        <v>14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16</v>
      </c>
      <c r="CI95">
        <v>473333</v>
      </c>
    </row>
    <row r="96" spans="1:88" x14ac:dyDescent="0.3">
      <c r="A96">
        <v>95</v>
      </c>
      <c r="B96" t="s">
        <v>318</v>
      </c>
      <c r="C96">
        <v>13330676</v>
      </c>
      <c r="D96" t="s">
        <v>319</v>
      </c>
      <c r="E96" t="s">
        <v>320</v>
      </c>
      <c r="F96" t="s">
        <v>321</v>
      </c>
      <c r="G96" t="s">
        <v>189</v>
      </c>
      <c r="H96" s="1">
        <v>46054</v>
      </c>
      <c r="I96" t="s">
        <v>140</v>
      </c>
      <c r="J96" t="s">
        <v>102</v>
      </c>
      <c r="K96" t="s">
        <v>243</v>
      </c>
      <c r="L96">
        <v>1790000090</v>
      </c>
      <c r="M96">
        <v>2</v>
      </c>
      <c r="N96">
        <v>2</v>
      </c>
      <c r="O96">
        <v>8</v>
      </c>
      <c r="P96">
        <v>8</v>
      </c>
      <c r="Q96">
        <v>2</v>
      </c>
      <c r="R96">
        <v>2</v>
      </c>
      <c r="S96">
        <v>2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R96">
        <v>0</v>
      </c>
      <c r="AS96">
        <v>5</v>
      </c>
      <c r="AT96">
        <v>14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0</v>
      </c>
      <c r="BA96">
        <v>21</v>
      </c>
      <c r="BM96">
        <v>2</v>
      </c>
      <c r="BN96">
        <v>320000</v>
      </c>
      <c r="BP96">
        <v>52500</v>
      </c>
      <c r="CI96">
        <v>315555</v>
      </c>
    </row>
    <row r="97" spans="1:88" x14ac:dyDescent="0.3">
      <c r="A97">
        <v>96</v>
      </c>
      <c r="B97" t="s">
        <v>801</v>
      </c>
      <c r="C97">
        <v>20406991</v>
      </c>
      <c r="D97" t="s">
        <v>385</v>
      </c>
      <c r="E97" t="s">
        <v>246</v>
      </c>
      <c r="F97" t="s">
        <v>802</v>
      </c>
      <c r="G97" t="s">
        <v>719</v>
      </c>
      <c r="H97" s="1">
        <v>45992</v>
      </c>
      <c r="I97" t="s">
        <v>101</v>
      </c>
      <c r="J97" t="s">
        <v>102</v>
      </c>
      <c r="K97" t="s">
        <v>272</v>
      </c>
      <c r="L97">
        <v>1790000090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3</v>
      </c>
      <c r="AN97">
        <v>3</v>
      </c>
      <c r="AO97">
        <v>3</v>
      </c>
      <c r="AP97">
        <v>3</v>
      </c>
      <c r="AR97">
        <v>0</v>
      </c>
      <c r="AS97">
        <v>14</v>
      </c>
      <c r="AT97">
        <v>16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30</v>
      </c>
      <c r="BC97">
        <v>235333</v>
      </c>
      <c r="BD97" t="s">
        <v>148</v>
      </c>
      <c r="BP97">
        <v>75000</v>
      </c>
      <c r="CI97">
        <v>473333</v>
      </c>
    </row>
    <row r="98" spans="1:88" x14ac:dyDescent="0.3">
      <c r="A98">
        <v>97</v>
      </c>
      <c r="B98" t="s">
        <v>874</v>
      </c>
      <c r="C98">
        <v>26128372</v>
      </c>
      <c r="D98" t="s">
        <v>875</v>
      </c>
      <c r="F98" t="s">
        <v>876</v>
      </c>
      <c r="G98" t="s">
        <v>160</v>
      </c>
      <c r="H98" s="1">
        <v>46054</v>
      </c>
      <c r="I98" t="s">
        <v>140</v>
      </c>
      <c r="J98" t="s">
        <v>102</v>
      </c>
      <c r="K98" t="s">
        <v>147</v>
      </c>
      <c r="L98">
        <v>1790000090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3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3</v>
      </c>
      <c r="AI98">
        <v>3</v>
      </c>
      <c r="AJ98">
        <v>3</v>
      </c>
      <c r="AK98">
        <v>3</v>
      </c>
      <c r="AL98">
        <v>3</v>
      </c>
      <c r="AM98">
        <v>3</v>
      </c>
      <c r="AN98">
        <v>3</v>
      </c>
      <c r="AO98">
        <v>3</v>
      </c>
      <c r="AP98">
        <v>3</v>
      </c>
      <c r="AR98">
        <v>0</v>
      </c>
      <c r="AS98">
        <v>14</v>
      </c>
      <c r="AT98">
        <v>16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30</v>
      </c>
      <c r="BC98">
        <v>130833</v>
      </c>
      <c r="BD98" t="s">
        <v>148</v>
      </c>
      <c r="BP98">
        <v>75000</v>
      </c>
      <c r="CI98">
        <v>473333</v>
      </c>
      <c r="CJ98">
        <v>213354</v>
      </c>
    </row>
    <row r="99" spans="1:88" x14ac:dyDescent="0.3">
      <c r="A99">
        <v>98</v>
      </c>
      <c r="B99" t="s">
        <v>565</v>
      </c>
      <c r="C99">
        <v>17296868</v>
      </c>
      <c r="D99" t="s">
        <v>566</v>
      </c>
      <c r="E99" t="s">
        <v>567</v>
      </c>
      <c r="F99" t="s">
        <v>568</v>
      </c>
      <c r="G99" t="s">
        <v>569</v>
      </c>
      <c r="H99" s="1">
        <v>45992</v>
      </c>
      <c r="I99" t="s">
        <v>140</v>
      </c>
      <c r="J99" t="s">
        <v>102</v>
      </c>
      <c r="K99" t="s">
        <v>272</v>
      </c>
      <c r="L99">
        <v>1790000090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2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R99">
        <v>0</v>
      </c>
      <c r="AS99">
        <v>7</v>
      </c>
      <c r="AT99">
        <v>23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30</v>
      </c>
      <c r="BP99">
        <v>75000</v>
      </c>
      <c r="CI99">
        <v>315555</v>
      </c>
    </row>
    <row r="100" spans="1:88" x14ac:dyDescent="0.3">
      <c r="A100">
        <v>99</v>
      </c>
      <c r="B100" t="s">
        <v>383</v>
      </c>
      <c r="C100">
        <v>15012307</v>
      </c>
      <c r="D100" t="s">
        <v>384</v>
      </c>
      <c r="E100" t="s">
        <v>385</v>
      </c>
      <c r="F100" t="s">
        <v>386</v>
      </c>
      <c r="G100" t="s">
        <v>233</v>
      </c>
      <c r="H100" s="1">
        <v>46041</v>
      </c>
      <c r="I100" t="s">
        <v>140</v>
      </c>
      <c r="J100" t="s">
        <v>102</v>
      </c>
      <c r="K100" t="s">
        <v>147</v>
      </c>
      <c r="L100">
        <v>1790000090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3</v>
      </c>
      <c r="AR100">
        <v>0</v>
      </c>
      <c r="AS100">
        <v>0</v>
      </c>
      <c r="AT100">
        <v>8</v>
      </c>
      <c r="AU100">
        <v>15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8</v>
      </c>
      <c r="CI100">
        <v>473333</v>
      </c>
    </row>
    <row r="101" spans="1:88" x14ac:dyDescent="0.3">
      <c r="A101">
        <v>100</v>
      </c>
      <c r="B101" t="s">
        <v>847</v>
      </c>
      <c r="C101">
        <v>24418429</v>
      </c>
      <c r="D101" t="s">
        <v>848</v>
      </c>
      <c r="E101" t="s">
        <v>849</v>
      </c>
      <c r="F101" t="s">
        <v>850</v>
      </c>
      <c r="G101" t="s">
        <v>213</v>
      </c>
      <c r="H101" s="1">
        <v>46054</v>
      </c>
      <c r="I101" t="s">
        <v>140</v>
      </c>
      <c r="J101" t="s">
        <v>102</v>
      </c>
      <c r="K101" t="s">
        <v>147</v>
      </c>
      <c r="L101">
        <v>1790000090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3</v>
      </c>
      <c r="AI101">
        <v>3</v>
      </c>
      <c r="AJ101">
        <v>3</v>
      </c>
      <c r="AK101">
        <v>3</v>
      </c>
      <c r="AL101">
        <v>3</v>
      </c>
      <c r="AM101">
        <v>3</v>
      </c>
      <c r="AN101">
        <v>3</v>
      </c>
      <c r="AO101">
        <v>3</v>
      </c>
      <c r="AP101">
        <v>3</v>
      </c>
      <c r="AQ101">
        <v>3</v>
      </c>
      <c r="AR101">
        <v>0</v>
      </c>
      <c r="AS101">
        <v>14</v>
      </c>
      <c r="AT101">
        <v>17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30</v>
      </c>
      <c r="BC101">
        <v>281000</v>
      </c>
      <c r="BD101" t="s">
        <v>148</v>
      </c>
      <c r="BP101">
        <v>75000</v>
      </c>
      <c r="CI101">
        <v>473333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BF45-4914-45D6-B273-C5950A8FAE2F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3" ma:contentTypeDescription="Crear nuevo documento." ma:contentTypeScope="" ma:versionID="bebddb839a76eb01bbebb77e68af5e14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b0b2a71b91c74d08a9716c0996f25de5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Fechainicio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inicio" ma:index="19" nillable="true" ma:displayName="Fecha inicio" ma:description="fjkffnsdfsdfklasdfkasfkasdnfasdnfsn" ma:format="DateOnly" ma:internalName="Fechainicio">
      <xsd:simpleType>
        <xsd:restriction base="dms:DateTim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72b088-abdf-40ca-bf46-7e7a55b261a4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8eead-7544-4bf0-b1d7-0f9cef2199dd">
      <Terms xmlns="http://schemas.microsoft.com/office/infopath/2007/PartnerControls"/>
    </lcf76f155ced4ddcb4097134ff3c332f>
    <Fechainicio xmlns="c648eead-7544-4bf0-b1d7-0f9cef2199dd" xsi:nil="true"/>
    <TaxCatchAll xmlns="67527caf-b323-41ce-a6e2-7ee299e4fd69" xsi:nil="true"/>
  </documentManagement>
</p:properties>
</file>

<file path=customXml/itemProps1.xml><?xml version="1.0" encoding="utf-8"?>
<ds:datastoreItem xmlns:ds="http://schemas.openxmlformats.org/officeDocument/2006/customXml" ds:itemID="{90756ACD-8E16-421D-A8A6-ED2652BFA6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DD451D-03D5-45A0-A5F4-8939C3320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918840-6071-4FB8-8BC4-DBE247CB0D9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1478161-6DB4-4446-884B-29286A03041E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PLANILLA GENERAL ABRIL 2026</vt:lpstr>
      <vt:lpstr>LOS HEROES</vt:lpstr>
      <vt:lpstr>LA ARAUCANA</vt:lpstr>
      <vt:lpstr>SEGURO</vt:lpstr>
      <vt:lpstr>FALP</vt:lpstr>
      <vt:lpstr>04_2026_OF</vt:lpstr>
      <vt:lpstr>04_2026_Techint-RT</vt:lpstr>
      <vt:lpstr>04_2026_Caserones</vt:lpstr>
      <vt:lpstr>04_2026_Acciona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Barrios</dc:creator>
  <cp:keywords/>
  <dc:description/>
  <cp:lastModifiedBy>Nelson Barrios</cp:lastModifiedBy>
  <cp:revision/>
  <dcterms:created xsi:type="dcterms:W3CDTF">2026-04-22T05:18:27Z</dcterms:created>
  <dcterms:modified xsi:type="dcterms:W3CDTF">2026-05-05T17:15:37Z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</Properties>
</file>