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Liquidaciones" sheetId="1" state="visible" r:id="rId1"/>
    <sheet xmlns:r="http://schemas.openxmlformats.org/officeDocument/2006/relationships" name="Resumen Centros de Costo" sheetId="2" state="visible" r:id="rId2"/>
    <sheet xmlns:r="http://schemas.openxmlformats.org/officeDocument/2006/relationships" name="Evolución Histór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DCE6F1"/>
        <bgColor rgb="00DCE6F1"/>
      </patternFill>
    </fill>
    <fill>
      <patternFill patternType="solid">
        <fgColor rgb="004F81BD"/>
        <bgColor rgb="004F81BD"/>
      </patternFill>
    </fill>
    <fill>
      <patternFill patternType="solid">
        <fgColor rgb="0031859C"/>
        <bgColor rgb="0031859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0" fontId="0" fillId="4" borderId="2" pivotButton="0" quotePrefix="0" xfId="0"/>
    <xf numFmtId="0" fontId="5" fillId="4" borderId="2" applyAlignment="1" pivotButton="0" quotePrefix="0" xfId="0">
      <alignment horizontal="right"/>
    </xf>
    <xf numFmtId="0" fontId="5" fillId="4" borderId="2" applyAlignment="1" pivotButton="0" quotePrefix="0" xfId="0">
      <alignment horizontal="center"/>
    </xf>
    <xf numFmtId="164" fontId="5" fillId="4" borderId="2" applyAlignment="1" pivotButton="0" quotePrefix="0" xfId="0">
      <alignment horizontal="right"/>
    </xf>
    <xf numFmtId="0" fontId="3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  <xf numFmtId="0" fontId="5" fillId="4" borderId="2" pivotButton="0" quotePrefix="0" xfId="0"/>
    <xf numFmtId="0" fontId="3" fillId="6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5" customWidth="1" min="3" max="3"/>
    <col width="43" customWidth="1" min="4" max="4"/>
    <col width="62" customWidth="1" min="5" max="5"/>
    <col width="13" customWidth="1" min="6" max="6"/>
    <col width="17" customWidth="1" min="7" max="7"/>
    <col width="19" customWidth="1" min="8" max="8"/>
    <col width="23" customWidth="1" min="9" max="9"/>
    <col width="20" customWidth="1" min="10" max="10"/>
    <col width="18" customWidth="1" min="11" max="11"/>
    <col width="24" customWidth="1" min="12" max="12"/>
    <col width="17" customWidth="1" min="13" max="13"/>
    <col width="23" customWidth="1" min="14" max="14"/>
    <col width="19" customWidth="1" min="15" max="15"/>
    <col width="17" customWidth="1" min="16" max="16"/>
    <col width="17" customWidth="1" min="17" max="17"/>
    <col width="17" customWidth="1" min="18" max="18"/>
    <col width="24" customWidth="1" min="19" max="19"/>
    <col width="24" customWidth="1" min="20" max="20"/>
    <col width="19" customWidth="1" min="21" max="21"/>
    <col width="17" customWidth="1" min="22" max="22"/>
    <col width="17" customWidth="1" min="23" max="23"/>
    <col width="17" customWidth="1" min="24" max="24"/>
    <col width="17" customWidth="1" min="25" max="25"/>
    <col width="25" customWidth="1" min="26" max="26"/>
    <col width="20" customWidth="1" min="27" max="27"/>
    <col width="19" customWidth="1" min="28" max="28"/>
    <col width="19" customWidth="1" min="29" max="29"/>
    <col width="19" customWidth="1" min="30" max="30"/>
    <col width="20" customWidth="1" min="31" max="31"/>
    <col width="23" customWidth="1" min="32" max="32"/>
  </cols>
  <sheetData>
    <row r="1">
      <c r="A1" s="1" t="inlineStr">
        <is>
          <t>Auditoría y Detalle de Liquidaciones - Periodo 2026-05</t>
        </is>
      </c>
    </row>
    <row r="2">
      <c r="A2" s="2" t="inlineStr">
        <is>
          <t>Cálculos matemáticos ERP REMU vs. cuadratura de parámetros legales de Previred</t>
        </is>
      </c>
    </row>
    <row r="3"/>
    <row r="4" ht="28" customHeight="1">
      <c r="A4" s="3" t="inlineStr">
        <is>
          <t>RUT</t>
        </is>
      </c>
      <c r="B4" s="3" t="inlineStr">
        <is>
          <t>Contrato</t>
        </is>
      </c>
      <c r="C4" s="3" t="inlineStr">
        <is>
          <t>Trabajador</t>
        </is>
      </c>
      <c r="D4" s="3" t="inlineStr">
        <is>
          <t>Cargo</t>
        </is>
      </c>
      <c r="E4" s="3" t="inlineStr">
        <is>
          <t>Centro de Costo</t>
        </is>
      </c>
      <c r="F4" s="3" t="inlineStr">
        <is>
          <t>Sede</t>
        </is>
      </c>
      <c r="G4" s="3" t="inlineStr">
        <is>
          <t>Días Trab.</t>
        </is>
      </c>
      <c r="H4" s="3" t="inlineStr">
        <is>
          <t>Licencia (Días)</t>
        </is>
      </c>
      <c r="I4" s="3" t="inlineStr">
        <is>
          <t>Sueldo Base Pactado</t>
        </is>
      </c>
      <c r="J4" s="3" t="inlineStr">
        <is>
          <t>Horas Extras ($)</t>
        </is>
      </c>
      <c r="K4" s="3" t="inlineStr">
        <is>
          <t>Bono Incentivo</t>
        </is>
      </c>
      <c r="L4" s="3" t="inlineStr">
        <is>
          <t>Bono Responsabilidad</t>
        </is>
      </c>
      <c r="M4" s="3" t="inlineStr">
        <is>
          <t>Bono Gestión</t>
        </is>
      </c>
      <c r="N4" s="3" t="inlineStr">
        <is>
          <t>Gratificación Legal</t>
        </is>
      </c>
      <c r="O4" s="3" t="inlineStr">
        <is>
          <t>Total Imponible</t>
        </is>
      </c>
      <c r="P4" s="3" t="inlineStr">
        <is>
          <t>Colación</t>
        </is>
      </c>
      <c r="Q4" s="3" t="inlineStr">
        <is>
          <t>Movilización</t>
        </is>
      </c>
      <c r="R4" s="3" t="inlineStr">
        <is>
          <t>Bono Estudios</t>
        </is>
      </c>
      <c r="S4" s="3" t="inlineStr">
        <is>
          <t>Vacaciones Finiquito</t>
        </is>
      </c>
      <c r="T4" s="3" t="inlineStr">
        <is>
          <t>Años Serv. Finiquito</t>
        </is>
      </c>
      <c r="U4" s="3" t="inlineStr">
        <is>
          <t>Aviso Finiquito</t>
        </is>
      </c>
      <c r="V4" s="3" t="inlineStr">
        <is>
          <t>Total Haberes</t>
        </is>
      </c>
      <c r="W4" s="3" t="inlineStr">
        <is>
          <t>Dcto AFP</t>
        </is>
      </c>
      <c r="X4" s="3" t="inlineStr">
        <is>
          <t>Dcto Salud</t>
        </is>
      </c>
      <c r="Y4" s="3" t="inlineStr">
        <is>
          <t>Dcto AFC</t>
        </is>
      </c>
      <c r="Z4" s="3" t="inlineStr">
        <is>
          <t>Impuesto Único (IUSC)</t>
        </is>
      </c>
      <c r="AA4" s="3" t="inlineStr">
        <is>
          <t>Total Descuentos</t>
        </is>
      </c>
      <c r="AB4" s="3" t="inlineStr">
        <is>
          <t>Sueldo Líquido</t>
        </is>
      </c>
      <c r="AC4" s="3" t="inlineStr">
        <is>
          <t>Costo Mutual</t>
        </is>
      </c>
      <c r="AD4" s="3" t="inlineStr">
        <is>
          <t>Aporte SIS</t>
        </is>
      </c>
      <c r="AE4" s="3" t="inlineStr">
        <is>
          <t>Aporte AFC Empl.</t>
        </is>
      </c>
      <c r="AF4" s="3" t="inlineStr">
        <is>
          <t>Costo Empresa Total</t>
        </is>
      </c>
    </row>
    <row r="5">
      <c r="A5" s="4" t="inlineStr">
        <is>
          <t>18255837-0</t>
        </is>
      </c>
      <c r="B5" s="4" t="n">
        <v>2</v>
      </c>
      <c r="C5" s="5" t="inlineStr">
        <is>
          <t>ABARCA TUDESCA CHRISTIAN DAVID</t>
        </is>
      </c>
      <c r="D5" s="5" t="inlineStr">
        <is>
          <t>CAPATAZ GEOSINTETICOS</t>
        </is>
      </c>
      <c r="E5" s="5" t="inlineStr">
        <is>
          <t>TECHINT - RT</t>
        </is>
      </c>
      <c r="F5" s="5" t="inlineStr">
        <is>
          <t>Directo</t>
        </is>
      </c>
      <c r="G5" s="4" t="n">
        <v>27</v>
      </c>
      <c r="H5" s="4" t="n">
        <v>0</v>
      </c>
      <c r="I5" s="6" t="n">
        <v>1550000</v>
      </c>
      <c r="J5" s="6" t="n">
        <v>0</v>
      </c>
      <c r="K5" s="6" t="n">
        <v>304999</v>
      </c>
      <c r="L5" s="6" t="n">
        <v>0</v>
      </c>
      <c r="M5" s="6" t="n">
        <v>0</v>
      </c>
      <c r="N5" s="6" t="n">
        <v>213354</v>
      </c>
      <c r="O5" s="6" t="n">
        <v>1913353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1913353</v>
      </c>
      <c r="W5" s="6" t="n">
        <v>219079</v>
      </c>
      <c r="X5" s="6" t="n">
        <v>133935</v>
      </c>
      <c r="Y5" s="6" t="n">
        <v>0</v>
      </c>
      <c r="Z5" s="6" t="n">
        <v>24296</v>
      </c>
      <c r="AA5" s="6" t="n">
        <v>377310</v>
      </c>
      <c r="AB5" s="6" t="n">
        <v>1536043</v>
      </c>
      <c r="AC5" s="6" t="n">
        <v>17794</v>
      </c>
      <c r="AD5" s="6" t="n">
        <v>30996</v>
      </c>
      <c r="AE5" s="6" t="n">
        <v>57401</v>
      </c>
      <c r="AF5" s="6" t="n">
        <v>2019544</v>
      </c>
    </row>
    <row r="6">
      <c r="A6" s="7" t="inlineStr">
        <is>
          <t>17714007-4</t>
        </is>
      </c>
      <c r="B6" s="7" t="n">
        <v>2</v>
      </c>
      <c r="C6" s="8" t="inlineStr">
        <is>
          <t>ALFARO  DUBO MARCO ANTONIO</t>
        </is>
      </c>
      <c r="D6" s="8" t="inlineStr">
        <is>
          <t>MAESTRO SEGUNDA GEOSINTETICOS</t>
        </is>
      </c>
      <c r="E6" s="8" t="inlineStr">
        <is>
          <t>SERVICIO DE IMPERMEABILIZACION CELDAS RSD1 Y RSD CASERONES</t>
        </is>
      </c>
      <c r="F6" s="8" t="inlineStr">
        <is>
          <t>Directo</t>
        </is>
      </c>
      <c r="G6" s="7" t="n">
        <v>11</v>
      </c>
      <c r="H6" s="7" t="n">
        <v>0</v>
      </c>
      <c r="I6" s="9" t="n">
        <v>920000</v>
      </c>
      <c r="J6" s="9" t="n">
        <v>0</v>
      </c>
      <c r="K6" s="9" t="n">
        <v>215000</v>
      </c>
      <c r="L6" s="9" t="n">
        <v>0</v>
      </c>
      <c r="M6" s="9" t="n">
        <v>0</v>
      </c>
      <c r="N6" s="9" t="n">
        <v>138083</v>
      </c>
      <c r="O6" s="9" t="n">
        <v>690416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690416</v>
      </c>
      <c r="W6" s="9" t="n">
        <v>79053</v>
      </c>
      <c r="X6" s="9" t="n">
        <v>48329</v>
      </c>
      <c r="Y6" s="9" t="n">
        <v>0</v>
      </c>
      <c r="Z6" s="9" t="n">
        <v>0</v>
      </c>
      <c r="AA6" s="9" t="n">
        <v>127382</v>
      </c>
      <c r="AB6" s="9" t="n">
        <v>563034</v>
      </c>
      <c r="AC6" s="9" t="n">
        <v>6421</v>
      </c>
      <c r="AD6" s="9" t="n">
        <v>11185</v>
      </c>
      <c r="AE6" s="9" t="n">
        <v>20712</v>
      </c>
      <c r="AF6" s="9" t="n">
        <v>728734</v>
      </c>
    </row>
    <row r="7">
      <c r="A7" s="4" t="inlineStr">
        <is>
          <t>10742396-6</t>
        </is>
      </c>
      <c r="B7" s="4" t="n">
        <v>3</v>
      </c>
      <c r="C7" s="5" t="inlineStr">
        <is>
          <t>ALFARO CAMPUSANO EDUARDO ENRIQUE</t>
        </is>
      </c>
      <c r="D7" s="5" t="inlineStr">
        <is>
          <t>AYUDANTE GEOSINTETICOS</t>
        </is>
      </c>
      <c r="E7" s="5" t="inlineStr">
        <is>
          <t>SERVICIO DE IMPERMEABILIZACION CELDAS RSD1 Y RSD CASERONES</t>
        </is>
      </c>
      <c r="F7" s="5" t="inlineStr">
        <is>
          <t>Directo</t>
        </is>
      </c>
      <c r="G7" s="4" t="n">
        <v>11</v>
      </c>
      <c r="H7" s="4" t="n">
        <v>0</v>
      </c>
      <c r="I7" s="6" t="n">
        <v>834000</v>
      </c>
      <c r="J7" s="6" t="n">
        <v>0</v>
      </c>
      <c r="K7" s="6" t="n">
        <v>215000</v>
      </c>
      <c r="L7" s="6" t="n">
        <v>0</v>
      </c>
      <c r="M7" s="6" t="n">
        <v>0</v>
      </c>
      <c r="N7" s="6" t="n">
        <v>130200</v>
      </c>
      <c r="O7" s="6" t="n">
        <v>651000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651000</v>
      </c>
      <c r="W7" s="6" t="n">
        <v>73368</v>
      </c>
      <c r="X7" s="6" t="n">
        <v>45570</v>
      </c>
      <c r="Y7" s="6" t="n">
        <v>0</v>
      </c>
      <c r="Z7" s="6" t="n">
        <v>0</v>
      </c>
      <c r="AA7" s="6" t="n">
        <v>118938</v>
      </c>
      <c r="AB7" s="6" t="n">
        <v>532062</v>
      </c>
      <c r="AC7" s="6" t="n">
        <v>6054</v>
      </c>
      <c r="AD7" s="6" t="n">
        <v>10546</v>
      </c>
      <c r="AE7" s="6" t="n">
        <v>19530</v>
      </c>
      <c r="AF7" s="6" t="n">
        <v>687130</v>
      </c>
    </row>
    <row r="8">
      <c r="A8" s="7" t="inlineStr">
        <is>
          <t>20945942-6</t>
        </is>
      </c>
      <c r="B8" s="7" t="n">
        <v>3</v>
      </c>
      <c r="C8" s="8" t="inlineStr">
        <is>
          <t>ALFARO DIAZ AXCEL ESTEBAN</t>
        </is>
      </c>
      <c r="D8" s="8" t="inlineStr">
        <is>
          <t>MAESTRO SEGUNDA GEOSINTETICOS</t>
        </is>
      </c>
      <c r="E8" s="8" t="inlineStr">
        <is>
          <t>TECHINT - RT</t>
        </is>
      </c>
      <c r="F8" s="8" t="inlineStr">
        <is>
          <t>Directo</t>
        </is>
      </c>
      <c r="G8" s="7" t="n">
        <v>18</v>
      </c>
      <c r="H8" s="7" t="n">
        <v>0</v>
      </c>
      <c r="I8" s="9" t="n">
        <v>850000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127500</v>
      </c>
      <c r="O8" s="9" t="n">
        <v>637500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637500</v>
      </c>
      <c r="W8" s="9" t="n">
        <v>72930</v>
      </c>
      <c r="X8" s="9" t="n">
        <v>44625</v>
      </c>
      <c r="Y8" s="9" t="n">
        <v>0</v>
      </c>
      <c r="Z8" s="9" t="n">
        <v>0</v>
      </c>
      <c r="AA8" s="9" t="n">
        <v>117555</v>
      </c>
      <c r="AB8" s="9" t="n">
        <v>519945</v>
      </c>
      <c r="AC8" s="9" t="n">
        <v>5929</v>
      </c>
      <c r="AD8" s="9" t="n">
        <v>10328</v>
      </c>
      <c r="AE8" s="9" t="n">
        <v>19125</v>
      </c>
      <c r="AF8" s="9" t="n">
        <v>672882</v>
      </c>
    </row>
    <row r="9">
      <c r="A9" s="4" t="inlineStr">
        <is>
          <t>17499645-8</t>
        </is>
      </c>
      <c r="B9" s="4" t="n">
        <v>1</v>
      </c>
      <c r="C9" s="5" t="inlineStr">
        <is>
          <t>ALVAREZ VEAS RODRIGO EBENEZER</t>
        </is>
      </c>
      <c r="D9" s="5" t="inlineStr">
        <is>
          <t>TECNICO CONTROL DOCUMENTOS</t>
        </is>
      </c>
      <c r="E9" s="5" t="inlineStr">
        <is>
          <t>TECHINT - RT</t>
        </is>
      </c>
      <c r="F9" s="5" t="inlineStr">
        <is>
          <t>Indirecto</t>
        </is>
      </c>
      <c r="G9" s="4" t="n">
        <v>30</v>
      </c>
      <c r="H9" s="4" t="n">
        <v>0</v>
      </c>
      <c r="I9" s="6" t="n">
        <v>1970000</v>
      </c>
      <c r="J9" s="6" t="n">
        <v>0</v>
      </c>
      <c r="K9" s="6" t="n">
        <v>338000</v>
      </c>
      <c r="L9" s="6" t="n">
        <v>312500</v>
      </c>
      <c r="M9" s="6" t="n">
        <v>0</v>
      </c>
      <c r="N9" s="6" t="n">
        <v>213354</v>
      </c>
      <c r="O9" s="6" t="n">
        <v>2833854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2833854</v>
      </c>
      <c r="W9" s="6" t="n">
        <v>324193</v>
      </c>
      <c r="X9" s="6" t="n">
        <v>198370</v>
      </c>
      <c r="Y9" s="6" t="n">
        <v>17003</v>
      </c>
      <c r="Z9" s="6" t="n">
        <v>60720</v>
      </c>
      <c r="AA9" s="6" t="n">
        <v>600286</v>
      </c>
      <c r="AB9" s="6" t="n">
        <v>2233568</v>
      </c>
      <c r="AC9" s="6" t="n">
        <v>26355</v>
      </c>
      <c r="AD9" s="6" t="n">
        <v>45908</v>
      </c>
      <c r="AE9" s="6" t="n">
        <v>68012</v>
      </c>
      <c r="AF9" s="6" t="n">
        <v>2974129</v>
      </c>
    </row>
    <row r="10">
      <c r="A10" s="7" t="inlineStr">
        <is>
          <t>11922653-8</t>
        </is>
      </c>
      <c r="B10" s="7" t="n">
        <v>1</v>
      </c>
      <c r="C10" s="8" t="inlineStr">
        <is>
          <t>ANDRADE CASTRO LUIS BERNARDO</t>
        </is>
      </c>
      <c r="D10" s="8" t="inlineStr">
        <is>
          <t>ENCARGADO MANTENCION</t>
        </is>
      </c>
      <c r="E10" s="8" t="inlineStr">
        <is>
          <t>TECHINT - RT</t>
        </is>
      </c>
      <c r="F10" s="8" t="inlineStr">
        <is>
          <t>Indirecto</t>
        </is>
      </c>
      <c r="G10" s="7" t="n">
        <v>30</v>
      </c>
      <c r="H10" s="7" t="n">
        <v>0</v>
      </c>
      <c r="I10" s="9" t="n">
        <v>1298935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213354</v>
      </c>
      <c r="O10" s="9" t="n">
        <v>1512289</v>
      </c>
      <c r="P10" s="9" t="n">
        <v>0</v>
      </c>
      <c r="Q10" s="9" t="n">
        <v>10000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1522289</v>
      </c>
      <c r="W10" s="9" t="n">
        <v>173157</v>
      </c>
      <c r="X10" s="9" t="n">
        <v>105860</v>
      </c>
      <c r="Y10" s="9" t="n">
        <v>9074</v>
      </c>
      <c r="Z10" s="9" t="n">
        <v>10850</v>
      </c>
      <c r="AA10" s="9" t="n">
        <v>298941</v>
      </c>
      <c r="AB10" s="9" t="n">
        <v>1223348</v>
      </c>
      <c r="AC10" s="9" t="n">
        <v>14064</v>
      </c>
      <c r="AD10" s="9" t="n">
        <v>24499</v>
      </c>
      <c r="AE10" s="9" t="n">
        <v>36295</v>
      </c>
      <c r="AF10" s="9" t="n">
        <v>1587147</v>
      </c>
    </row>
    <row r="11">
      <c r="A11" s="4" t="inlineStr">
        <is>
          <t>9809267-6</t>
        </is>
      </c>
      <c r="B11" s="4" t="n">
        <v>1</v>
      </c>
      <c r="C11" s="5" t="inlineStr">
        <is>
          <t>ANGEL GOMEZ SERGIO ERNESTO</t>
        </is>
      </c>
      <c r="D11" s="5" t="inlineStr">
        <is>
          <t>AYUDANTE GEOSINTETICOS</t>
        </is>
      </c>
      <c r="E11" s="5" t="inlineStr">
        <is>
          <t>SERVICIO DE IMPERMEABILIZACION CELDAS RSD1 Y RSD CASERONES</t>
        </is>
      </c>
      <c r="F11" s="5" t="inlineStr">
        <is>
          <t>Directo</t>
        </is>
      </c>
      <c r="G11" s="4" t="n">
        <v>11</v>
      </c>
      <c r="H11" s="4" t="n">
        <v>0</v>
      </c>
      <c r="I11" s="6" t="n">
        <v>834000</v>
      </c>
      <c r="J11" s="6" t="n">
        <v>0</v>
      </c>
      <c r="K11" s="6" t="n">
        <v>140000</v>
      </c>
      <c r="L11" s="6" t="n">
        <v>0</v>
      </c>
      <c r="M11" s="6" t="n">
        <v>0</v>
      </c>
      <c r="N11" s="6" t="n">
        <v>111450</v>
      </c>
      <c r="O11" s="6" t="n">
        <v>557250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568930</v>
      </c>
      <c r="W11" s="6" t="n">
        <v>63805</v>
      </c>
      <c r="X11" s="6" t="n">
        <v>39008</v>
      </c>
      <c r="Y11" s="6" t="n">
        <v>0</v>
      </c>
      <c r="Z11" s="6" t="n">
        <v>0</v>
      </c>
      <c r="AA11" s="6" t="n">
        <v>102813</v>
      </c>
      <c r="AB11" s="6" t="n">
        <v>466117</v>
      </c>
      <c r="AC11" s="6" t="n">
        <v>5182</v>
      </c>
      <c r="AD11" s="6" t="n">
        <v>9027</v>
      </c>
      <c r="AE11" s="6" t="n">
        <v>16718</v>
      </c>
      <c r="AF11" s="6" t="n">
        <v>588177</v>
      </c>
    </row>
    <row r="12">
      <c r="A12" s="7" t="inlineStr">
        <is>
          <t>20152549-7</t>
        </is>
      </c>
      <c r="B12" s="7" t="n">
        <v>2</v>
      </c>
      <c r="C12" s="8" t="inlineStr">
        <is>
          <t>ARAYA ARAYA MARCELO NICOLAS</t>
        </is>
      </c>
      <c r="D12" s="8" t="inlineStr">
        <is>
          <t>AYUDANTE GEOSINTETICOS</t>
        </is>
      </c>
      <c r="E12" s="8" t="inlineStr">
        <is>
          <t>TECHINT - RT</t>
        </is>
      </c>
      <c r="F12" s="8" t="inlineStr">
        <is>
          <t>Directo</t>
        </is>
      </c>
      <c r="G12" s="7" t="n">
        <v>12</v>
      </c>
      <c r="H12" s="7" t="n">
        <v>0</v>
      </c>
      <c r="I12" s="9" t="n">
        <v>746000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74600</v>
      </c>
      <c r="O12" s="9" t="n">
        <v>373000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373000</v>
      </c>
      <c r="W12" s="9" t="n">
        <v>39463</v>
      </c>
      <c r="X12" s="9" t="n">
        <v>26110</v>
      </c>
      <c r="Y12" s="9" t="n">
        <v>0</v>
      </c>
      <c r="Z12" s="9" t="n">
        <v>0</v>
      </c>
      <c r="AA12" s="9" t="n">
        <v>65573</v>
      </c>
      <c r="AB12" s="9" t="n">
        <v>307427</v>
      </c>
      <c r="AC12" s="9" t="n">
        <v>3469</v>
      </c>
      <c r="AD12" s="9" t="n">
        <v>6043</v>
      </c>
      <c r="AE12" s="9" t="n">
        <v>11190</v>
      </c>
      <c r="AF12" s="9" t="n">
        <v>393702</v>
      </c>
    </row>
    <row r="13">
      <c r="A13" s="4" t="inlineStr">
        <is>
          <t>17712341-2</t>
        </is>
      </c>
      <c r="B13" s="4" t="n">
        <v>3</v>
      </c>
      <c r="C13" s="5" t="inlineStr">
        <is>
          <t>ARAYA ARAYA PATRICIO ESTEBAN</t>
        </is>
      </c>
      <c r="D13" s="5" t="inlineStr">
        <is>
          <t>SUPERVISOR CONTROL CALIDAD</t>
        </is>
      </c>
      <c r="E13" s="5" t="inlineStr">
        <is>
          <t>SERVICIO DE IMPERMEABILIZACION CELDAS RSD1 Y RSD CASERONES</t>
        </is>
      </c>
      <c r="F13" s="5" t="inlineStr">
        <is>
          <t>Indirecto</t>
        </is>
      </c>
      <c r="G13" s="4" t="n">
        <v>19</v>
      </c>
      <c r="H13" s="4" t="n">
        <v>0</v>
      </c>
      <c r="I13" s="6" t="n">
        <v>2565000</v>
      </c>
      <c r="J13" s="6" t="n">
        <v>0</v>
      </c>
      <c r="K13" s="6" t="n">
        <v>225000</v>
      </c>
      <c r="L13" s="6" t="n">
        <v>0</v>
      </c>
      <c r="M13" s="6" t="n">
        <v>0</v>
      </c>
      <c r="N13" s="6" t="n">
        <v>213354</v>
      </c>
      <c r="O13" s="6" t="n">
        <v>2062854</v>
      </c>
      <c r="P13" s="6" t="n">
        <v>0</v>
      </c>
      <c r="Q13" s="6" t="n">
        <v>0</v>
      </c>
      <c r="R13" s="6" t="n">
        <v>74406</v>
      </c>
      <c r="S13" s="6" t="n">
        <v>0</v>
      </c>
      <c r="T13" s="6" t="n">
        <v>0</v>
      </c>
      <c r="U13" s="6" t="n">
        <v>0</v>
      </c>
      <c r="V13" s="6" t="n">
        <v>2137260</v>
      </c>
      <c r="W13" s="6" t="n">
        <v>236197</v>
      </c>
      <c r="X13" s="6" t="n">
        <v>144400</v>
      </c>
      <c r="Y13" s="6" t="n">
        <v>0</v>
      </c>
      <c r="Z13" s="6" t="n">
        <v>29173</v>
      </c>
      <c r="AA13" s="6" t="n">
        <v>409770</v>
      </c>
      <c r="AB13" s="6" t="n">
        <v>1727490</v>
      </c>
      <c r="AC13" s="6" t="n">
        <v>19185</v>
      </c>
      <c r="AD13" s="6" t="n">
        <v>33418</v>
      </c>
      <c r="AE13" s="6" t="n">
        <v>61886</v>
      </c>
      <c r="AF13" s="6" t="n">
        <v>2177343</v>
      </c>
    </row>
    <row r="14">
      <c r="A14" s="7" t="inlineStr">
        <is>
          <t>13976656-3</t>
        </is>
      </c>
      <c r="B14" s="7" t="n">
        <v>2</v>
      </c>
      <c r="C14" s="8" t="inlineStr">
        <is>
          <t>ARAYA CORTES HUGO ALFONSO</t>
        </is>
      </c>
      <c r="D14" s="8" t="inlineStr">
        <is>
          <t>MAESTRO PRIMERA GEOSINTETICOS</t>
        </is>
      </c>
      <c r="E14" s="8" t="inlineStr">
        <is>
          <t>SERVICIO DE IMPERMEABILIZACION CELDAS RSD1 Y RSD CASERONES</t>
        </is>
      </c>
      <c r="F14" s="8" t="inlineStr">
        <is>
          <t>Directo</t>
        </is>
      </c>
      <c r="G14" s="7" t="n">
        <v>11</v>
      </c>
      <c r="H14" s="7" t="n">
        <v>0</v>
      </c>
      <c r="I14" s="9" t="n">
        <v>1468000</v>
      </c>
      <c r="J14" s="9" t="n">
        <v>0</v>
      </c>
      <c r="K14" s="9" t="n">
        <v>132000</v>
      </c>
      <c r="L14" s="9" t="n">
        <v>0</v>
      </c>
      <c r="M14" s="9" t="n">
        <v>0</v>
      </c>
      <c r="N14" s="9" t="n">
        <v>167567</v>
      </c>
      <c r="O14" s="9" t="n">
        <v>837834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841834</v>
      </c>
      <c r="W14" s="9" t="n">
        <v>95932</v>
      </c>
      <c r="X14" s="9" t="n">
        <v>58648</v>
      </c>
      <c r="Y14" s="9" t="n">
        <v>0</v>
      </c>
      <c r="Z14" s="9" t="n">
        <v>0</v>
      </c>
      <c r="AA14" s="9" t="n">
        <v>154580</v>
      </c>
      <c r="AB14" s="9" t="n">
        <v>687254</v>
      </c>
      <c r="AC14" s="9" t="n">
        <v>7792</v>
      </c>
      <c r="AD14" s="9" t="n">
        <v>13573</v>
      </c>
      <c r="AE14" s="9" t="n">
        <v>25135</v>
      </c>
      <c r="AF14" s="9" t="n">
        <v>884334</v>
      </c>
    </row>
    <row r="15">
      <c r="A15" s="4" t="inlineStr">
        <is>
          <t>13976656-3</t>
        </is>
      </c>
      <c r="B15" s="4" t="n">
        <v>3</v>
      </c>
      <c r="C15" s="5" t="inlineStr">
        <is>
          <t>ARAYA CORTES HUGO ALFONSO</t>
        </is>
      </c>
      <c r="D15" s="5" t="inlineStr">
        <is>
          <t>MAESTRO PRIMERA GEOSINTETICOS</t>
        </is>
      </c>
      <c r="E15" s="5" t="inlineStr">
        <is>
          <t>TECHINT - RT</t>
        </is>
      </c>
      <c r="F15" s="5" t="inlineStr">
        <is>
          <t>Directo</t>
        </is>
      </c>
      <c r="G15" s="4" t="n">
        <v>19</v>
      </c>
      <c r="H15" s="4" t="n">
        <v>0</v>
      </c>
      <c r="I15" s="6" t="n">
        <v>1315000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208208</v>
      </c>
      <c r="O15" s="6" t="n">
        <v>1041041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1041041</v>
      </c>
      <c r="W15" s="6" t="n">
        <v>119199</v>
      </c>
      <c r="X15" s="6" t="n">
        <v>72873</v>
      </c>
      <c r="Y15" s="6" t="n">
        <v>0</v>
      </c>
      <c r="Z15" s="6" t="n">
        <v>23171</v>
      </c>
      <c r="AA15" s="6" t="n">
        <v>215243</v>
      </c>
      <c r="AB15" s="6" t="n">
        <v>825798</v>
      </c>
      <c r="AC15" s="6" t="n">
        <v>9682</v>
      </c>
      <c r="AD15" s="6" t="n">
        <v>16865</v>
      </c>
      <c r="AE15" s="6" t="n">
        <v>31231</v>
      </c>
      <c r="AF15" s="6" t="n">
        <v>1098819</v>
      </c>
    </row>
    <row r="16">
      <c r="A16" s="7" t="inlineStr">
        <is>
          <t>15494188-6</t>
        </is>
      </c>
      <c r="B16" s="7" t="n">
        <v>2</v>
      </c>
      <c r="C16" s="8" t="inlineStr">
        <is>
          <t>ARAYA GALLEGUILLOS CARLOS ALBERTO</t>
        </is>
      </c>
      <c r="D16" s="8" t="inlineStr">
        <is>
          <t>JEFE OFICINA TECNICA</t>
        </is>
      </c>
      <c r="E16" s="8" t="inlineStr">
        <is>
          <t>ACCIONA IMPERMEABILIZACION DE TALUDES MURO SUR</t>
        </is>
      </c>
      <c r="F16" s="8" t="inlineStr">
        <is>
          <t>Indirecto</t>
        </is>
      </c>
      <c r="G16" s="7" t="n">
        <v>12</v>
      </c>
      <c r="H16" s="7" t="n">
        <v>0</v>
      </c>
      <c r="I16" s="9" t="n">
        <v>4150000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213354</v>
      </c>
      <c r="O16" s="9" t="n">
        <v>1873354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1873354</v>
      </c>
      <c r="W16" s="9" t="n">
        <v>214312</v>
      </c>
      <c r="X16" s="9" t="n">
        <v>131135</v>
      </c>
      <c r="Y16" s="9" t="n">
        <v>0</v>
      </c>
      <c r="Z16" s="9" t="n">
        <v>22999</v>
      </c>
      <c r="AA16" s="9" t="n">
        <v>368446</v>
      </c>
      <c r="AB16" s="9" t="n">
        <v>1504908</v>
      </c>
      <c r="AC16" s="9" t="n">
        <v>17422</v>
      </c>
      <c r="AD16" s="9" t="n">
        <v>30348</v>
      </c>
      <c r="AE16" s="9" t="n">
        <v>56201</v>
      </c>
      <c r="AF16" s="9" t="n">
        <v>1977325</v>
      </c>
    </row>
    <row r="17">
      <c r="A17" s="4" t="inlineStr">
        <is>
          <t>13531208-8</t>
        </is>
      </c>
      <c r="B17" s="4" t="n">
        <v>1</v>
      </c>
      <c r="C17" s="5" t="inlineStr">
        <is>
          <t>ARAYA REYES MARCO ANTONIO</t>
        </is>
      </c>
      <c r="D17" s="5" t="inlineStr">
        <is>
          <t>JEFE PREVENCION DE RIESGOS</t>
        </is>
      </c>
      <c r="E17" s="5" t="inlineStr">
        <is>
          <t>TECHINT - RT</t>
        </is>
      </c>
      <c r="F17" s="5" t="inlineStr">
        <is>
          <t>Indirecto</t>
        </is>
      </c>
      <c r="G17" s="4" t="n">
        <v>30</v>
      </c>
      <c r="H17" s="4" t="n">
        <v>0</v>
      </c>
      <c r="I17" s="6" t="n">
        <v>1713000</v>
      </c>
      <c r="J17" s="6" t="n">
        <v>0</v>
      </c>
      <c r="K17" s="6" t="n">
        <v>1634000</v>
      </c>
      <c r="L17" s="6" t="n">
        <v>0</v>
      </c>
      <c r="M17" s="6" t="n">
        <v>0</v>
      </c>
      <c r="N17" s="6" t="n">
        <v>213354</v>
      </c>
      <c r="O17" s="6" t="n">
        <v>3560354</v>
      </c>
      <c r="P17" s="6" t="n">
        <v>0</v>
      </c>
      <c r="Q17" s="6" t="n">
        <v>10000</v>
      </c>
      <c r="R17" s="6" t="n">
        <v>77281</v>
      </c>
      <c r="S17" s="6" t="n">
        <v>0</v>
      </c>
      <c r="T17" s="6" t="n">
        <v>0</v>
      </c>
      <c r="U17" s="6" t="n">
        <v>0</v>
      </c>
      <c r="V17" s="6" t="n">
        <v>3647635</v>
      </c>
      <c r="W17" s="6" t="n">
        <v>407304</v>
      </c>
      <c r="X17" s="6" t="n">
        <v>249225</v>
      </c>
      <c r="Y17" s="6" t="n">
        <v>21362</v>
      </c>
      <c r="Z17" s="6" t="n">
        <v>107774</v>
      </c>
      <c r="AA17" s="6" t="n">
        <v>785665</v>
      </c>
      <c r="AB17" s="6" t="n">
        <v>2861970</v>
      </c>
      <c r="AC17" s="6" t="n">
        <v>33111</v>
      </c>
      <c r="AD17" s="6" t="n">
        <v>57678</v>
      </c>
      <c r="AE17" s="6" t="n">
        <v>85448</v>
      </c>
      <c r="AF17" s="6" t="n">
        <v>3736591</v>
      </c>
    </row>
    <row r="18">
      <c r="A18" s="7" t="inlineStr">
        <is>
          <t>9850740-K</t>
        </is>
      </c>
      <c r="B18" s="7" t="n">
        <v>1</v>
      </c>
      <c r="C18" s="8" t="inlineStr">
        <is>
          <t>ARAYA TELLO JABIEL NICANOR</t>
        </is>
      </c>
      <c r="D18" s="8" t="inlineStr">
        <is>
          <t>MAESTRO PRIMERA GEOSINTETICOS</t>
        </is>
      </c>
      <c r="E18" s="8" t="inlineStr">
        <is>
          <t>TECHINT - RT</t>
        </is>
      </c>
      <c r="F18" s="8" t="inlineStr">
        <is>
          <t>Directo</t>
        </is>
      </c>
      <c r="G18" s="7" t="n">
        <v>30</v>
      </c>
      <c r="H18" s="7" t="n">
        <v>0</v>
      </c>
      <c r="I18" s="9" t="n">
        <v>1412000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213354</v>
      </c>
      <c r="O18" s="9" t="n">
        <v>1625354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1625354</v>
      </c>
      <c r="W18" s="9" t="n">
        <v>186103</v>
      </c>
      <c r="X18" s="9" t="n">
        <v>184007</v>
      </c>
      <c r="Y18" s="9" t="n">
        <v>9752</v>
      </c>
      <c r="Z18" s="9" t="n">
        <v>11702</v>
      </c>
      <c r="AA18" s="9" t="n">
        <v>391564</v>
      </c>
      <c r="AB18" s="9" t="n">
        <v>1233790</v>
      </c>
      <c r="AC18" s="9" t="n">
        <v>15116</v>
      </c>
      <c r="AD18" s="9" t="n">
        <v>26331</v>
      </c>
      <c r="AE18" s="9" t="n">
        <v>39008</v>
      </c>
      <c r="AF18" s="9" t="n">
        <v>1705809</v>
      </c>
    </row>
    <row r="19">
      <c r="A19" s="4" t="inlineStr">
        <is>
          <t>21043751-7</t>
        </is>
      </c>
      <c r="B19" s="4" t="n">
        <v>2</v>
      </c>
      <c r="C19" s="5" t="inlineStr">
        <is>
          <t>ARAYA TORO EMILIO MAXIMILIANO</t>
        </is>
      </c>
      <c r="D19" s="5" t="inlineStr">
        <is>
          <t>AYUDANTE GEOSINTETICOS</t>
        </is>
      </c>
      <c r="E19" s="5" t="inlineStr">
        <is>
          <t>TECHINT - RT</t>
        </is>
      </c>
      <c r="F19" s="5" t="inlineStr">
        <is>
          <t>Directo</t>
        </is>
      </c>
      <c r="G19" s="4" t="n">
        <v>17</v>
      </c>
      <c r="H19" s="4" t="n">
        <v>0</v>
      </c>
      <c r="I19" s="6" t="n">
        <v>746000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105683</v>
      </c>
      <c r="O19" s="6" t="n">
        <v>528416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528416</v>
      </c>
      <c r="W19" s="6" t="n">
        <v>55272</v>
      </c>
      <c r="X19" s="6" t="n">
        <v>36989</v>
      </c>
      <c r="Y19" s="6" t="n">
        <v>0</v>
      </c>
      <c r="Z19" s="6" t="n">
        <v>0</v>
      </c>
      <c r="AA19" s="6" t="n">
        <v>92261</v>
      </c>
      <c r="AB19" s="6" t="n">
        <v>436155</v>
      </c>
      <c r="AC19" s="6" t="n">
        <v>4914</v>
      </c>
      <c r="AD19" s="6" t="n">
        <v>8560</v>
      </c>
      <c r="AE19" s="6" t="n">
        <v>15852</v>
      </c>
      <c r="AF19" s="6" t="n">
        <v>557742</v>
      </c>
    </row>
    <row r="20">
      <c r="A20" s="7" t="inlineStr">
        <is>
          <t>20728107-7</t>
        </is>
      </c>
      <c r="B20" s="7" t="n">
        <v>1</v>
      </c>
      <c r="C20" s="8" t="inlineStr">
        <is>
          <t>ARAYA VILLALOBOS JOSE IGNACIO</t>
        </is>
      </c>
      <c r="D20" s="8" t="inlineStr">
        <is>
          <t>AYUDANTE GEOSINTETICOS</t>
        </is>
      </c>
      <c r="E20" s="8" t="inlineStr">
        <is>
          <t>SERVICIO DE IMPERMEABILIZACION CELDAS RSD1 Y RSD CASERONES</t>
        </is>
      </c>
      <c r="F20" s="8" t="inlineStr">
        <is>
          <t>Directo</t>
        </is>
      </c>
      <c r="G20" s="7" t="n">
        <v>5</v>
      </c>
      <c r="H20" s="7" t="n">
        <v>0</v>
      </c>
      <c r="I20" s="9" t="n">
        <v>834000</v>
      </c>
      <c r="J20" s="9" t="n">
        <v>0</v>
      </c>
      <c r="K20" s="9" t="n">
        <v>125000</v>
      </c>
      <c r="L20" s="9" t="n">
        <v>0</v>
      </c>
      <c r="M20" s="9" t="n">
        <v>0</v>
      </c>
      <c r="N20" s="9" t="n">
        <v>66000</v>
      </c>
      <c r="O20" s="9" t="n">
        <v>330000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330000</v>
      </c>
      <c r="W20" s="9" t="n">
        <v>34518</v>
      </c>
      <c r="X20" s="9" t="n">
        <v>23100</v>
      </c>
      <c r="Y20" s="9" t="n">
        <v>0</v>
      </c>
      <c r="Z20" s="9" t="n">
        <v>0</v>
      </c>
      <c r="AA20" s="9" t="n">
        <v>57618</v>
      </c>
      <c r="AB20" s="9" t="n">
        <v>272382</v>
      </c>
      <c r="AC20" s="9" t="n">
        <v>3069</v>
      </c>
      <c r="AD20" s="9" t="n">
        <v>5346</v>
      </c>
      <c r="AE20" s="9" t="n">
        <v>9900</v>
      </c>
      <c r="AF20" s="9" t="n">
        <v>348315</v>
      </c>
    </row>
    <row r="21">
      <c r="A21" s="4" t="inlineStr">
        <is>
          <t>15802017-3</t>
        </is>
      </c>
      <c r="B21" s="4" t="n">
        <v>3</v>
      </c>
      <c r="C21" s="5" t="inlineStr">
        <is>
          <t>ARGANDOÑA IBACACHE PABLO CÉSAR</t>
        </is>
      </c>
      <c r="D21" s="5" t="inlineStr">
        <is>
          <t>MAESTRO PRIMERA GEOSINTETICOS</t>
        </is>
      </c>
      <c r="E21" s="5" t="inlineStr">
        <is>
          <t>TECHINT - RT</t>
        </is>
      </c>
      <c r="F21" s="5" t="inlineStr">
        <is>
          <t>Directo</t>
        </is>
      </c>
      <c r="G21" s="4" t="n">
        <v>18</v>
      </c>
      <c r="H21" s="4" t="n">
        <v>0</v>
      </c>
      <c r="I21" s="6" t="n">
        <v>1315000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197250</v>
      </c>
      <c r="O21" s="6" t="n">
        <v>986250</v>
      </c>
      <c r="P21" s="6" t="n">
        <v>0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986250</v>
      </c>
      <c r="W21" s="6" t="n">
        <v>112926</v>
      </c>
      <c r="X21" s="6" t="n">
        <v>69038</v>
      </c>
      <c r="Y21" s="6" t="n">
        <v>0</v>
      </c>
      <c r="Z21" s="6" t="n">
        <v>0</v>
      </c>
      <c r="AA21" s="6" t="n">
        <v>181964</v>
      </c>
      <c r="AB21" s="6" t="n">
        <v>804286</v>
      </c>
      <c r="AC21" s="6" t="n">
        <v>9172</v>
      </c>
      <c r="AD21" s="6" t="n">
        <v>15977</v>
      </c>
      <c r="AE21" s="6" t="n">
        <v>29588</v>
      </c>
      <c r="AF21" s="6" t="n">
        <v>1040987</v>
      </c>
    </row>
    <row r="22">
      <c r="A22" s="7" t="inlineStr">
        <is>
          <t>15969632-4</t>
        </is>
      </c>
      <c r="B22" s="7" t="n">
        <v>2</v>
      </c>
      <c r="C22" s="8" t="inlineStr">
        <is>
          <t>ARROUCH MOLINA EDUARDO ANDRES</t>
        </is>
      </c>
      <c r="D22" s="8" t="inlineStr">
        <is>
          <t>OPERADOR CAMION PLUMA</t>
        </is>
      </c>
      <c r="E22" s="8" t="inlineStr">
        <is>
          <t>TECHINT - RT</t>
        </is>
      </c>
      <c r="F22" s="8" t="inlineStr">
        <is>
          <t>Directo</t>
        </is>
      </c>
      <c r="G22" s="7" t="n">
        <v>30</v>
      </c>
      <c r="H22" s="7" t="n">
        <v>0</v>
      </c>
      <c r="I22" s="9" t="n">
        <v>1686000</v>
      </c>
      <c r="J22" s="9" t="n">
        <v>0</v>
      </c>
      <c r="K22" s="9" t="n">
        <v>225000</v>
      </c>
      <c r="L22" s="9" t="n">
        <v>0</v>
      </c>
      <c r="M22" s="9" t="n">
        <v>0</v>
      </c>
      <c r="N22" s="9" t="n">
        <v>213354</v>
      </c>
      <c r="O22" s="9" t="n">
        <v>2124354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2124354</v>
      </c>
      <c r="W22" s="9" t="n">
        <v>239415</v>
      </c>
      <c r="X22" s="9" t="n">
        <v>148705</v>
      </c>
      <c r="Y22" s="9" t="n">
        <v>0</v>
      </c>
      <c r="Z22" s="9" t="n">
        <v>31332</v>
      </c>
      <c r="AA22" s="9" t="n">
        <v>419452</v>
      </c>
      <c r="AB22" s="9" t="n">
        <v>1704902</v>
      </c>
      <c r="AC22" s="9" t="n">
        <v>19756</v>
      </c>
      <c r="AD22" s="9" t="n">
        <v>34415</v>
      </c>
      <c r="AE22" s="9" t="n">
        <v>63731</v>
      </c>
      <c r="AF22" s="9" t="n">
        <v>2242256</v>
      </c>
    </row>
    <row r="23">
      <c r="A23" s="4" t="inlineStr">
        <is>
          <t>17331556-2</t>
        </is>
      </c>
      <c r="B23" s="4" t="n">
        <v>2</v>
      </c>
      <c r="C23" s="5" t="inlineStr">
        <is>
          <t>AVILES MATCOVICH CLAUDIO FAVIAN</t>
        </is>
      </c>
      <c r="D23" s="5" t="inlineStr">
        <is>
          <t>SUPERVISOR CONTROL CALIDAD</t>
        </is>
      </c>
      <c r="E23" s="5" t="inlineStr">
        <is>
          <t>TECHINT - RT</t>
        </is>
      </c>
      <c r="F23" s="5" t="inlineStr">
        <is>
          <t>Indirecto</t>
        </is>
      </c>
      <c r="G23" s="4" t="n">
        <v>16</v>
      </c>
      <c r="H23" s="4" t="n">
        <v>0</v>
      </c>
      <c r="I23" s="6" t="n">
        <v>2308000</v>
      </c>
      <c r="J23" s="6" t="n">
        <v>0</v>
      </c>
      <c r="K23" s="6" t="n">
        <v>230799</v>
      </c>
      <c r="L23" s="6" t="n">
        <v>0</v>
      </c>
      <c r="M23" s="6" t="n">
        <v>0</v>
      </c>
      <c r="N23" s="6" t="n">
        <v>213354</v>
      </c>
      <c r="O23" s="6" t="n">
        <v>1675086</v>
      </c>
      <c r="P23" s="6" t="n">
        <v>0</v>
      </c>
      <c r="Q23" s="6" t="n">
        <v>0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1675086</v>
      </c>
      <c r="W23" s="6" t="n">
        <v>188782</v>
      </c>
      <c r="X23" s="6" t="n">
        <v>193754</v>
      </c>
      <c r="Y23" s="6" t="n">
        <v>0</v>
      </c>
      <c r="Z23" s="6" t="n">
        <v>13584</v>
      </c>
      <c r="AA23" s="6" t="n">
        <v>396120</v>
      </c>
      <c r="AB23" s="6" t="n">
        <v>1278966</v>
      </c>
      <c r="AC23" s="6" t="n">
        <v>15578</v>
      </c>
      <c r="AD23" s="6" t="n">
        <v>27136</v>
      </c>
      <c r="AE23" s="6" t="n">
        <v>50253</v>
      </c>
      <c r="AF23" s="6" t="n">
        <v>1768053</v>
      </c>
    </row>
    <row r="24">
      <c r="A24" s="7" t="inlineStr">
        <is>
          <t>15356694-1</t>
        </is>
      </c>
      <c r="B24" s="7" t="n">
        <v>2</v>
      </c>
      <c r="C24" s="8" t="inlineStr">
        <is>
          <t>AYALA VENEGAS RAUL EDUARDO</t>
        </is>
      </c>
      <c r="D24" s="8" t="inlineStr">
        <is>
          <t>RIGGER</t>
        </is>
      </c>
      <c r="E24" s="8" t="inlineStr">
        <is>
          <t>TECHINT - RT</t>
        </is>
      </c>
      <c r="F24" s="8" t="inlineStr">
        <is>
          <t>Directo</t>
        </is>
      </c>
      <c r="G24" s="7" t="n">
        <v>30</v>
      </c>
      <c r="H24" s="7" t="n">
        <v>0</v>
      </c>
      <c r="I24" s="9" t="n">
        <v>1315000</v>
      </c>
      <c r="J24" s="9" t="n">
        <v>0</v>
      </c>
      <c r="K24" s="9" t="n">
        <v>225000</v>
      </c>
      <c r="L24" s="9" t="n">
        <v>0</v>
      </c>
      <c r="M24" s="9" t="n">
        <v>0</v>
      </c>
      <c r="N24" s="9" t="n">
        <v>213354</v>
      </c>
      <c r="O24" s="9" t="n">
        <v>1753354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2036744</v>
      </c>
      <c r="W24" s="9" t="n">
        <v>197603</v>
      </c>
      <c r="X24" s="9" t="n">
        <v>122735</v>
      </c>
      <c r="Y24" s="9" t="n">
        <v>0</v>
      </c>
      <c r="Z24" s="9" t="n">
        <v>19203</v>
      </c>
      <c r="AA24" s="9" t="n">
        <v>339541</v>
      </c>
      <c r="AB24" s="9" t="n">
        <v>1697203</v>
      </c>
      <c r="AC24" s="9" t="n">
        <v>16306</v>
      </c>
      <c r="AD24" s="9" t="n">
        <v>28404</v>
      </c>
      <c r="AE24" s="9" t="n">
        <v>52601</v>
      </c>
      <c r="AF24" s="9" t="n">
        <v>1850665</v>
      </c>
    </row>
    <row r="25">
      <c r="A25" s="4" t="inlineStr">
        <is>
          <t>12930126-0</t>
        </is>
      </c>
      <c r="B25" s="4" t="n">
        <v>2</v>
      </c>
      <c r="C25" s="5" t="inlineStr">
        <is>
          <t>BADILLA CID VICTOR ESTEBAN</t>
        </is>
      </c>
      <c r="D25" s="5" t="inlineStr">
        <is>
          <t>AYUDANTE GEOSINTETICOS</t>
        </is>
      </c>
      <c r="E25" s="5" t="inlineStr">
        <is>
          <t>TECHINT - RT</t>
        </is>
      </c>
      <c r="F25" s="5" t="inlineStr">
        <is>
          <t>Directo</t>
        </is>
      </c>
      <c r="G25" s="4" t="n">
        <v>14</v>
      </c>
      <c r="H25" s="4" t="n">
        <v>0</v>
      </c>
      <c r="I25" s="6" t="n">
        <v>746000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87033</v>
      </c>
      <c r="O25" s="6" t="n">
        <v>435166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435166</v>
      </c>
      <c r="W25" s="6" t="n">
        <v>46041</v>
      </c>
      <c r="X25" s="6" t="n">
        <v>30462</v>
      </c>
      <c r="Y25" s="6" t="n">
        <v>0</v>
      </c>
      <c r="Z25" s="6" t="n">
        <v>0</v>
      </c>
      <c r="AA25" s="6" t="n">
        <v>76503</v>
      </c>
      <c r="AB25" s="6" t="n">
        <v>358663</v>
      </c>
      <c r="AC25" s="6" t="n">
        <v>4047</v>
      </c>
      <c r="AD25" s="6" t="n">
        <v>7050</v>
      </c>
      <c r="AE25" s="6" t="n">
        <v>13055</v>
      </c>
      <c r="AF25" s="6" t="n">
        <v>459318</v>
      </c>
    </row>
    <row r="26">
      <c r="A26" s="7" t="inlineStr">
        <is>
          <t>9430404-0</t>
        </is>
      </c>
      <c r="B26" s="7" t="n">
        <v>1</v>
      </c>
      <c r="C26" s="8" t="inlineStr">
        <is>
          <t>BARRIA BARRIENTOS HARRY ISMAEL</t>
        </is>
      </c>
      <c r="D26" s="8" t="inlineStr">
        <is>
          <t>ENCARGADO TALLER MANTENCION</t>
        </is>
      </c>
      <c r="E26" s="8" t="inlineStr">
        <is>
          <t>Dpto. Mant.</t>
        </is>
      </c>
      <c r="F26" s="8" t="inlineStr">
        <is>
          <t>Oficina</t>
        </is>
      </c>
      <c r="G26" s="7" t="n">
        <v>30</v>
      </c>
      <c r="H26" s="7" t="n">
        <v>0</v>
      </c>
      <c r="I26" s="9" t="n">
        <v>2205331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213354</v>
      </c>
      <c r="O26" s="9" t="n">
        <v>2418685</v>
      </c>
      <c r="P26" s="9" t="n">
        <v>110000</v>
      </c>
      <c r="Q26" s="9" t="n">
        <v>10000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2676685</v>
      </c>
      <c r="W26" s="9" t="n">
        <v>276698</v>
      </c>
      <c r="X26" s="9" t="n">
        <v>190951</v>
      </c>
      <c r="Y26" s="9" t="n">
        <v>14512</v>
      </c>
      <c r="Z26" s="9" t="n">
        <v>39343</v>
      </c>
      <c r="AA26" s="9" t="n">
        <v>521504</v>
      </c>
      <c r="AB26" s="9" t="n">
        <v>2155181</v>
      </c>
      <c r="AC26" s="9" t="n">
        <v>22494</v>
      </c>
      <c r="AD26" s="9" t="n">
        <v>39183</v>
      </c>
      <c r="AE26" s="9" t="n">
        <v>58048</v>
      </c>
      <c r="AF26" s="9" t="n">
        <v>2538410</v>
      </c>
    </row>
    <row r="27">
      <c r="A27" s="4" t="inlineStr">
        <is>
          <t>14113613-5</t>
        </is>
      </c>
      <c r="B27" s="4" t="n">
        <v>1</v>
      </c>
      <c r="C27" s="5" t="inlineStr">
        <is>
          <t>BARRIOS ACUÑA NELSON ENRIQUE</t>
        </is>
      </c>
      <c r="D27" s="5" t="inlineStr">
        <is>
          <t>JEFE GESTION PERSONAS</t>
        </is>
      </c>
      <c r="E27" s="5" t="inlineStr">
        <is>
          <t>Operacion</t>
        </is>
      </c>
      <c r="F27" s="5" t="inlineStr">
        <is>
          <t>Oficina</t>
        </is>
      </c>
      <c r="G27" s="4" t="n">
        <v>30</v>
      </c>
      <c r="H27" s="4" t="n">
        <v>0</v>
      </c>
      <c r="I27" s="6" t="n">
        <v>2981000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213354</v>
      </c>
      <c r="O27" s="6" t="n">
        <v>3194354</v>
      </c>
      <c r="P27" s="6" t="n">
        <v>0</v>
      </c>
      <c r="Q27" s="6" t="n">
        <v>10000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3204354</v>
      </c>
      <c r="W27" s="6" t="n">
        <v>365434</v>
      </c>
      <c r="X27" s="6" t="n">
        <v>223605</v>
      </c>
      <c r="Y27" s="6" t="n">
        <v>19166</v>
      </c>
      <c r="Z27" s="6" t="n">
        <v>84069</v>
      </c>
      <c r="AA27" s="6" t="n">
        <v>692274</v>
      </c>
      <c r="AB27" s="6" t="n">
        <v>2512080</v>
      </c>
      <c r="AC27" s="6" t="n">
        <v>29707</v>
      </c>
      <c r="AD27" s="6" t="n">
        <v>51749</v>
      </c>
      <c r="AE27" s="6" t="n">
        <v>76664</v>
      </c>
      <c r="AF27" s="6" t="n">
        <v>3352474</v>
      </c>
    </row>
    <row r="28">
      <c r="A28" s="7" t="inlineStr">
        <is>
          <t>7365743-1</t>
        </is>
      </c>
      <c r="B28" s="7" t="n">
        <v>1</v>
      </c>
      <c r="C28" s="8" t="inlineStr">
        <is>
          <t>BONE SANTIS CARLOS ALBERTO</t>
        </is>
      </c>
      <c r="D28" s="8" t="inlineStr">
        <is>
          <t>GERENTE GENERAL</t>
        </is>
      </c>
      <c r="E28" s="8" t="inlineStr">
        <is>
          <t>Gerencia General</t>
        </is>
      </c>
      <c r="F28" s="8" t="inlineStr">
        <is>
          <t>Oficina</t>
        </is>
      </c>
      <c r="G28" s="7" t="n">
        <v>30</v>
      </c>
      <c r="H28" s="7" t="n">
        <v>0</v>
      </c>
      <c r="I28" s="9" t="n">
        <v>12513823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213354</v>
      </c>
      <c r="O28" s="9" t="n">
        <v>12727177</v>
      </c>
      <c r="P28" s="9" t="n">
        <v>73500</v>
      </c>
      <c r="Q28" s="9" t="n">
        <v>25000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12825677</v>
      </c>
      <c r="W28" s="9" t="n">
        <v>411914</v>
      </c>
      <c r="X28" s="9" t="n">
        <v>488303</v>
      </c>
      <c r="Y28" s="9" t="n">
        <v>0</v>
      </c>
      <c r="Z28" s="9" t="n">
        <v>2432546</v>
      </c>
      <c r="AA28" s="9" t="n">
        <v>3738870</v>
      </c>
      <c r="AB28" s="9" t="n">
        <v>9492914</v>
      </c>
      <c r="AC28" s="9" t="n">
        <v>33991</v>
      </c>
      <c r="AD28" s="9" t="n">
        <v>59210</v>
      </c>
      <c r="AE28" s="9" t="n">
        <v>43925</v>
      </c>
      <c r="AF28" s="9" t="n">
        <v>12864303</v>
      </c>
    </row>
    <row r="29">
      <c r="A29" s="4" t="inlineStr">
        <is>
          <t>17131650-2</t>
        </is>
      </c>
      <c r="B29" s="4" t="n">
        <v>4</v>
      </c>
      <c r="C29" s="5" t="inlineStr">
        <is>
          <t>BRIZUELA FUENTES FRANCISCO EDUARDO</t>
        </is>
      </c>
      <c r="D29" s="5" t="inlineStr">
        <is>
          <t>AYUDANTE GEOSINTETICOS</t>
        </is>
      </c>
      <c r="E29" s="5" t="inlineStr">
        <is>
          <t>SERVICIO DE IMPERMEABILIZACION CELDAS RSD1 Y RSD CASERONES</t>
        </is>
      </c>
      <c r="F29" s="5" t="inlineStr">
        <is>
          <t>Directo</t>
        </is>
      </c>
      <c r="G29" s="4" t="n">
        <v>5</v>
      </c>
      <c r="H29" s="4" t="n">
        <v>0</v>
      </c>
      <c r="I29" s="6" t="n">
        <v>834000</v>
      </c>
      <c r="J29" s="6" t="n">
        <v>0</v>
      </c>
      <c r="K29" s="6" t="n">
        <v>200000</v>
      </c>
      <c r="L29" s="6" t="n">
        <v>0</v>
      </c>
      <c r="M29" s="6" t="n">
        <v>0</v>
      </c>
      <c r="N29" s="6" t="n">
        <v>84750</v>
      </c>
      <c r="O29" s="6" t="n">
        <v>423750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423750</v>
      </c>
      <c r="W29" s="6" t="n">
        <v>48519</v>
      </c>
      <c r="X29" s="6" t="n">
        <v>29663</v>
      </c>
      <c r="Y29" s="6" t="n">
        <v>0</v>
      </c>
      <c r="Z29" s="6" t="n">
        <v>0</v>
      </c>
      <c r="AA29" s="6" t="n">
        <v>78182</v>
      </c>
      <c r="AB29" s="6" t="n">
        <v>345568</v>
      </c>
      <c r="AC29" s="6" t="n">
        <v>3941</v>
      </c>
      <c r="AD29" s="6" t="n">
        <v>6865</v>
      </c>
      <c r="AE29" s="6" t="n">
        <v>12712</v>
      </c>
      <c r="AF29" s="6" t="n">
        <v>447268</v>
      </c>
    </row>
    <row r="30">
      <c r="A30" s="7" t="inlineStr">
        <is>
          <t>20308932-5</t>
        </is>
      </c>
      <c r="B30" s="7" t="n">
        <v>3</v>
      </c>
      <c r="C30" s="8" t="inlineStr">
        <is>
          <t>BUGUEÑO CARVAJAL VICTOR EDUARDO</t>
        </is>
      </c>
      <c r="D30" s="8" t="inlineStr">
        <is>
          <t>AYUDANTE GEOSINTETICOS</t>
        </is>
      </c>
      <c r="E30" s="8" t="inlineStr">
        <is>
          <t>TECHINT - RT</t>
        </is>
      </c>
      <c r="F30" s="8" t="inlineStr">
        <is>
          <t>Directo</t>
        </is>
      </c>
      <c r="G30" s="7" t="n">
        <v>18</v>
      </c>
      <c r="H30" s="7" t="n">
        <v>0</v>
      </c>
      <c r="I30" s="9" t="n">
        <v>746000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111900</v>
      </c>
      <c r="O30" s="9" t="n">
        <v>559500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559500</v>
      </c>
      <c r="W30" s="9" t="n">
        <v>62440</v>
      </c>
      <c r="X30" s="9" t="n">
        <v>39165</v>
      </c>
      <c r="Y30" s="9" t="n">
        <v>0</v>
      </c>
      <c r="Z30" s="9" t="n">
        <v>0</v>
      </c>
      <c r="AA30" s="9" t="n">
        <v>101605</v>
      </c>
      <c r="AB30" s="9" t="n">
        <v>457895</v>
      </c>
      <c r="AC30" s="9" t="n">
        <v>5203</v>
      </c>
      <c r="AD30" s="9" t="n">
        <v>9064</v>
      </c>
      <c r="AE30" s="9" t="n">
        <v>16785</v>
      </c>
      <c r="AF30" s="9" t="n">
        <v>590552</v>
      </c>
    </row>
    <row r="31">
      <c r="A31" s="4" t="inlineStr">
        <is>
          <t>13640892-5</t>
        </is>
      </c>
      <c r="B31" s="4" t="n">
        <v>2</v>
      </c>
      <c r="C31" s="5" t="inlineStr">
        <is>
          <t>CACERES MUÑOZ ANIBAL JOSE</t>
        </is>
      </c>
      <c r="D31" s="5" t="inlineStr">
        <is>
          <t>JEFE RECURSOS HUMANOS PROYECTO</t>
        </is>
      </c>
      <c r="E31" s="5" t="inlineStr">
        <is>
          <t>ACCIONA IMPERMEABILIZACION DE TALUDES MURO SUR</t>
        </is>
      </c>
      <c r="F31" s="5" t="inlineStr">
        <is>
          <t>Indirecto</t>
        </is>
      </c>
      <c r="G31" s="4" t="n">
        <v>30</v>
      </c>
      <c r="H31" s="4" t="n">
        <v>0</v>
      </c>
      <c r="I31" s="6" t="n">
        <v>2696000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213354</v>
      </c>
      <c r="O31" s="6" t="n">
        <v>2909354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2944247</v>
      </c>
      <c r="W31" s="6" t="n">
        <v>332830</v>
      </c>
      <c r="X31" s="6" t="n">
        <v>203655</v>
      </c>
      <c r="Y31" s="6" t="n">
        <v>17456</v>
      </c>
      <c r="Z31" s="6" t="n">
        <v>65610</v>
      </c>
      <c r="AA31" s="6" t="n">
        <v>619551</v>
      </c>
      <c r="AB31" s="6" t="n">
        <v>2324696</v>
      </c>
      <c r="AC31" s="6" t="n">
        <v>27057</v>
      </c>
      <c r="AD31" s="6" t="n">
        <v>47132</v>
      </c>
      <c r="AE31" s="6" t="n">
        <v>69824</v>
      </c>
      <c r="AF31" s="6" t="n">
        <v>3053367</v>
      </c>
    </row>
    <row r="32">
      <c r="A32" s="7" t="inlineStr">
        <is>
          <t>17798471-K</t>
        </is>
      </c>
      <c r="B32" s="7" t="n">
        <v>2</v>
      </c>
      <c r="C32" s="8" t="inlineStr">
        <is>
          <t>CACERES MUÑOZ ERIK GONZALO</t>
        </is>
      </c>
      <c r="D32" s="8" t="inlineStr">
        <is>
          <t>AYUDANTE CONTROL CALIDAD</t>
        </is>
      </c>
      <c r="E32" s="8" t="inlineStr">
        <is>
          <t>TECHINT - RT</t>
        </is>
      </c>
      <c r="F32" s="8" t="inlineStr">
        <is>
          <t>Directo</t>
        </is>
      </c>
      <c r="G32" s="7" t="n">
        <v>19</v>
      </c>
      <c r="H32" s="7" t="n">
        <v>0</v>
      </c>
      <c r="I32" s="9" t="n">
        <v>850000</v>
      </c>
      <c r="J32" s="9" t="n">
        <v>0</v>
      </c>
      <c r="K32" s="9" t="n">
        <v>131499</v>
      </c>
      <c r="L32" s="9" t="n">
        <v>0</v>
      </c>
      <c r="M32" s="9" t="n">
        <v>0</v>
      </c>
      <c r="N32" s="9" t="n">
        <v>167458</v>
      </c>
      <c r="O32" s="9" t="n">
        <v>837290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837290</v>
      </c>
      <c r="W32" s="9" t="n">
        <v>95870</v>
      </c>
      <c r="X32" s="9" t="n">
        <v>58610</v>
      </c>
      <c r="Y32" s="9" t="n">
        <v>0</v>
      </c>
      <c r="Z32" s="9" t="n">
        <v>0</v>
      </c>
      <c r="AA32" s="9" t="n">
        <v>154480</v>
      </c>
      <c r="AB32" s="9" t="n">
        <v>682810</v>
      </c>
      <c r="AC32" s="9" t="n">
        <v>7787</v>
      </c>
      <c r="AD32" s="9" t="n">
        <v>13564</v>
      </c>
      <c r="AE32" s="9" t="n">
        <v>25119</v>
      </c>
      <c r="AF32" s="9" t="n">
        <v>883760</v>
      </c>
    </row>
    <row r="33">
      <c r="A33" s="4" t="inlineStr">
        <is>
          <t>18193913-3</t>
        </is>
      </c>
      <c r="B33" s="4" t="n">
        <v>4</v>
      </c>
      <c r="C33" s="5" t="inlineStr">
        <is>
          <t>CALDERON ALVAREZ JOSE MIGUEL</t>
        </is>
      </c>
      <c r="D33" s="5" t="inlineStr">
        <is>
          <t>MAESTRO PRIMERA GEOSINTETICOS</t>
        </is>
      </c>
      <c r="E33" s="5" t="inlineStr">
        <is>
          <t>TECHINT - RT</t>
        </is>
      </c>
      <c r="F33" s="5" t="inlineStr">
        <is>
          <t>Directo</t>
        </is>
      </c>
      <c r="G33" s="4" t="n">
        <v>25</v>
      </c>
      <c r="H33" s="4" t="n">
        <v>0</v>
      </c>
      <c r="I33" s="6" t="n">
        <v>1315000</v>
      </c>
      <c r="J33" s="6" t="n">
        <v>0</v>
      </c>
      <c r="K33" s="6" t="n">
        <v>131499</v>
      </c>
      <c r="L33" s="6" t="n">
        <v>0</v>
      </c>
      <c r="M33" s="6" t="n">
        <v>0</v>
      </c>
      <c r="N33" s="6" t="n">
        <v>213354</v>
      </c>
      <c r="O33" s="6" t="n">
        <v>1440686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1440686</v>
      </c>
      <c r="W33" s="6" t="n">
        <v>164959</v>
      </c>
      <c r="X33" s="6" t="n">
        <v>100848</v>
      </c>
      <c r="Y33" s="6" t="n">
        <v>0</v>
      </c>
      <c r="Z33" s="6" t="n">
        <v>8878</v>
      </c>
      <c r="AA33" s="6" t="n">
        <v>274685</v>
      </c>
      <c r="AB33" s="6" t="n">
        <v>1166001</v>
      </c>
      <c r="AC33" s="6" t="n">
        <v>13398</v>
      </c>
      <c r="AD33" s="6" t="n">
        <v>23339</v>
      </c>
      <c r="AE33" s="6" t="n">
        <v>43221</v>
      </c>
      <c r="AF33" s="6" t="n">
        <v>1520644</v>
      </c>
    </row>
    <row r="34">
      <c r="A34" s="7" t="inlineStr">
        <is>
          <t>10675506-K</t>
        </is>
      </c>
      <c r="B34" s="7" t="n">
        <v>1</v>
      </c>
      <c r="C34" s="8" t="inlineStr">
        <is>
          <t>CAMPILLAI NAVARRO VICTOR JAVIER</t>
        </is>
      </c>
      <c r="D34" s="8" t="inlineStr">
        <is>
          <t>JEFE UNIDAD LOGISTICA</t>
        </is>
      </c>
      <c r="E34" s="8" t="inlineStr">
        <is>
          <t>Dpto. Abastecimiento</t>
        </is>
      </c>
      <c r="F34" s="8" t="inlineStr">
        <is>
          <t>Oficina</t>
        </is>
      </c>
      <c r="G34" s="7" t="n">
        <v>30</v>
      </c>
      <c r="H34" s="7" t="n">
        <v>0</v>
      </c>
      <c r="I34" s="9" t="n">
        <v>2876990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213354</v>
      </c>
      <c r="O34" s="9" t="n">
        <v>3090344</v>
      </c>
      <c r="P34" s="9" t="n">
        <v>110000</v>
      </c>
      <c r="Q34" s="9" t="n">
        <v>10000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3210344</v>
      </c>
      <c r="W34" s="9" t="n">
        <v>348282</v>
      </c>
      <c r="X34" s="9" t="n">
        <v>216324</v>
      </c>
      <c r="Y34" s="9" t="n">
        <v>18542</v>
      </c>
      <c r="Z34" s="9" t="n">
        <v>77753</v>
      </c>
      <c r="AA34" s="9" t="n">
        <v>660901</v>
      </c>
      <c r="AB34" s="9" t="n">
        <v>2549443</v>
      </c>
      <c r="AC34" s="9" t="n">
        <v>28740</v>
      </c>
      <c r="AD34" s="9" t="n">
        <v>50064</v>
      </c>
      <c r="AE34" s="9" t="n">
        <v>74168</v>
      </c>
      <c r="AF34" s="9" t="n">
        <v>3243316</v>
      </c>
    </row>
    <row r="35">
      <c r="A35" s="4" t="inlineStr">
        <is>
          <t>20747827-K</t>
        </is>
      </c>
      <c r="B35" s="4" t="n">
        <v>3</v>
      </c>
      <c r="C35" s="5" t="inlineStr">
        <is>
          <t>CAMPOS ARAYA JAIRO LEANDRO</t>
        </is>
      </c>
      <c r="D35" s="5" t="inlineStr">
        <is>
          <t>MAESTRO SEGUNDA GEOSINTETICOS</t>
        </is>
      </c>
      <c r="E35" s="5" t="inlineStr">
        <is>
          <t>TECHINT - RT</t>
        </is>
      </c>
      <c r="F35" s="5" t="inlineStr">
        <is>
          <t>Directo</t>
        </is>
      </c>
      <c r="G35" s="4" t="n">
        <v>12</v>
      </c>
      <c r="H35" s="4" t="n">
        <v>0</v>
      </c>
      <c r="I35" s="6" t="n">
        <v>850000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85000</v>
      </c>
      <c r="O35" s="6" t="n">
        <v>425000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425000</v>
      </c>
      <c r="W35" s="6" t="n">
        <v>44455</v>
      </c>
      <c r="X35" s="6" t="n">
        <v>29750</v>
      </c>
      <c r="Y35" s="6" t="n">
        <v>0</v>
      </c>
      <c r="Z35" s="6" t="n">
        <v>0</v>
      </c>
      <c r="AA35" s="6" t="n">
        <v>74205</v>
      </c>
      <c r="AB35" s="6" t="n">
        <v>350795</v>
      </c>
      <c r="AC35" s="6" t="n">
        <v>3953</v>
      </c>
      <c r="AD35" s="6" t="n">
        <v>6885</v>
      </c>
      <c r="AE35" s="6" t="n">
        <v>12750</v>
      </c>
      <c r="AF35" s="6" t="n">
        <v>448588</v>
      </c>
    </row>
    <row r="36">
      <c r="A36" s="7" t="inlineStr">
        <is>
          <t>17028472-0</t>
        </is>
      </c>
      <c r="B36" s="7" t="n">
        <v>2</v>
      </c>
      <c r="C36" s="8" t="inlineStr">
        <is>
          <t>CAMPOS MORA MAURICIO ANDRES</t>
        </is>
      </c>
      <c r="D36" s="8" t="inlineStr">
        <is>
          <t>CAPATAZ INSPECCION Y DETECCION DE FUGAS</t>
        </is>
      </c>
      <c r="E36" s="8" t="inlineStr">
        <is>
          <t>TECHINT - RT</t>
        </is>
      </c>
      <c r="F36" s="8" t="inlineStr">
        <is>
          <t>Directo</t>
        </is>
      </c>
      <c r="G36" s="7" t="n">
        <v>30</v>
      </c>
      <c r="H36" s="7" t="n">
        <v>0</v>
      </c>
      <c r="I36" s="9" t="n">
        <v>1550000</v>
      </c>
      <c r="J36" s="9" t="n">
        <v>0</v>
      </c>
      <c r="K36" s="9" t="n">
        <v>225000</v>
      </c>
      <c r="L36" s="9" t="n">
        <v>0</v>
      </c>
      <c r="M36" s="9" t="n">
        <v>0</v>
      </c>
      <c r="N36" s="9" t="n">
        <v>213354</v>
      </c>
      <c r="O36" s="9" t="n">
        <v>1988354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1988354</v>
      </c>
      <c r="W36" s="9" t="n">
        <v>207982</v>
      </c>
      <c r="X36" s="9" t="n">
        <v>218526</v>
      </c>
      <c r="Y36" s="9" t="n">
        <v>0</v>
      </c>
      <c r="Z36" s="9" t="n">
        <v>24356</v>
      </c>
      <c r="AA36" s="9" t="n">
        <v>450864</v>
      </c>
      <c r="AB36" s="9" t="n">
        <v>1537490</v>
      </c>
      <c r="AC36" s="9" t="n">
        <v>18492</v>
      </c>
      <c r="AD36" s="9" t="n">
        <v>32211</v>
      </c>
      <c r="AE36" s="9" t="n">
        <v>59651</v>
      </c>
      <c r="AF36" s="9" t="n">
        <v>2098708</v>
      </c>
    </row>
    <row r="37">
      <c r="A37" s="4" t="inlineStr">
        <is>
          <t>20006272-8</t>
        </is>
      </c>
      <c r="B37" s="4" t="n">
        <v>4</v>
      </c>
      <c r="C37" s="5" t="inlineStr">
        <is>
          <t>CARMONA ALZAMORA GABRIEL MATIAS</t>
        </is>
      </c>
      <c r="D37" s="5" t="inlineStr">
        <is>
          <t>MAESTRO SEGUNDA GEOSINTETICOS</t>
        </is>
      </c>
      <c r="E37" s="5" t="inlineStr">
        <is>
          <t>TECHINT - RT</t>
        </is>
      </c>
      <c r="F37" s="5" t="inlineStr">
        <is>
          <t>Directo</t>
        </is>
      </c>
      <c r="G37" s="4" t="n">
        <v>18</v>
      </c>
      <c r="H37" s="4" t="n">
        <v>0</v>
      </c>
      <c r="I37" s="6" t="n">
        <v>850000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127500</v>
      </c>
      <c r="O37" s="6" t="n">
        <v>637500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637500</v>
      </c>
      <c r="W37" s="6" t="n">
        <v>72994</v>
      </c>
      <c r="X37" s="6" t="n">
        <v>44625</v>
      </c>
      <c r="Y37" s="6" t="n">
        <v>0</v>
      </c>
      <c r="Z37" s="6" t="n">
        <v>0</v>
      </c>
      <c r="AA37" s="6" t="n">
        <v>117619</v>
      </c>
      <c r="AB37" s="6" t="n">
        <v>519881</v>
      </c>
      <c r="AC37" s="6" t="n">
        <v>5929</v>
      </c>
      <c r="AD37" s="6" t="n">
        <v>10328</v>
      </c>
      <c r="AE37" s="6" t="n">
        <v>19125</v>
      </c>
      <c r="AF37" s="6" t="n">
        <v>672882</v>
      </c>
    </row>
    <row r="38">
      <c r="A38" s="7" t="inlineStr">
        <is>
          <t>17773864-6</t>
        </is>
      </c>
      <c r="B38" s="7" t="n">
        <v>3</v>
      </c>
      <c r="C38" s="8" t="inlineStr">
        <is>
          <t>CARVAJAL CISTERNAS CLAUDIO ANDRES</t>
        </is>
      </c>
      <c r="D38" s="8" t="inlineStr">
        <is>
          <t>SUPERVISOR GEOSINTETICOS</t>
        </is>
      </c>
      <c r="E38" s="8" t="inlineStr">
        <is>
          <t>TECHINT - RT</t>
        </is>
      </c>
      <c r="F38" s="8" t="inlineStr">
        <is>
          <t>Indirecto</t>
        </is>
      </c>
      <c r="G38" s="7" t="n">
        <v>30</v>
      </c>
      <c r="H38" s="7" t="n">
        <v>0</v>
      </c>
      <c r="I38" s="9" t="n">
        <v>2441000</v>
      </c>
      <c r="J38" s="9" t="n">
        <v>0</v>
      </c>
      <c r="K38" s="9" t="n">
        <v>225000</v>
      </c>
      <c r="L38" s="9" t="n">
        <v>0</v>
      </c>
      <c r="M38" s="9" t="n">
        <v>0</v>
      </c>
      <c r="N38" s="9" t="n">
        <v>213354</v>
      </c>
      <c r="O38" s="9" t="n">
        <v>2879354</v>
      </c>
      <c r="P38" s="9" t="n">
        <v>0</v>
      </c>
      <c r="Q38" s="9" t="n">
        <v>0</v>
      </c>
      <c r="R38" s="9" t="n">
        <v>79625</v>
      </c>
      <c r="S38" s="9" t="n">
        <v>0</v>
      </c>
      <c r="T38" s="9" t="n">
        <v>0</v>
      </c>
      <c r="U38" s="9" t="n">
        <v>0</v>
      </c>
      <c r="V38" s="9" t="n">
        <v>3258979</v>
      </c>
      <c r="W38" s="9" t="n">
        <v>329686</v>
      </c>
      <c r="X38" s="9" t="n">
        <v>201555</v>
      </c>
      <c r="Y38" s="9" t="n">
        <v>0</v>
      </c>
      <c r="Z38" s="9" t="n">
        <v>65026</v>
      </c>
      <c r="AA38" s="9" t="n">
        <v>596267</v>
      </c>
      <c r="AB38" s="9" t="n">
        <v>2662712</v>
      </c>
      <c r="AC38" s="9" t="n">
        <v>26778</v>
      </c>
      <c r="AD38" s="9" t="n">
        <v>46646</v>
      </c>
      <c r="AE38" s="9" t="n">
        <v>86381</v>
      </c>
      <c r="AF38" s="9" t="n">
        <v>3039159</v>
      </c>
    </row>
    <row r="39">
      <c r="A39" s="4" t="inlineStr">
        <is>
          <t>10681225-K</t>
        </is>
      </c>
      <c r="B39" s="4" t="n">
        <v>3</v>
      </c>
      <c r="C39" s="5" t="inlineStr">
        <is>
          <t>CARVAJAL CISTERNAS JUAN ALBERTO</t>
        </is>
      </c>
      <c r="D39" s="5" t="inlineStr">
        <is>
          <t>AYUDANTE GEOSINTETICOS</t>
        </is>
      </c>
      <c r="E39" s="5" t="inlineStr">
        <is>
          <t>TECHINT - RT</t>
        </is>
      </c>
      <c r="F39" s="5" t="inlineStr">
        <is>
          <t>Directo</t>
        </is>
      </c>
      <c r="G39" s="4" t="n">
        <v>19</v>
      </c>
      <c r="H39" s="4" t="n">
        <v>0</v>
      </c>
      <c r="I39" s="6" t="n">
        <v>746000</v>
      </c>
      <c r="J39" s="6" t="n">
        <v>0</v>
      </c>
      <c r="K39" s="6" t="n">
        <v>74600</v>
      </c>
      <c r="L39" s="6" t="n">
        <v>0</v>
      </c>
      <c r="M39" s="6" t="n">
        <v>0</v>
      </c>
      <c r="N39" s="6" t="n">
        <v>136767</v>
      </c>
      <c r="O39" s="6" t="n">
        <v>683834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683834</v>
      </c>
      <c r="W39" s="6" t="n">
        <v>78231</v>
      </c>
      <c r="X39" s="6" t="n">
        <v>47868</v>
      </c>
      <c r="Y39" s="6" t="n">
        <v>0</v>
      </c>
      <c r="Z39" s="6" t="n">
        <v>0</v>
      </c>
      <c r="AA39" s="6" t="n">
        <v>126099</v>
      </c>
      <c r="AB39" s="6" t="n">
        <v>557735</v>
      </c>
      <c r="AC39" s="6" t="n">
        <v>6360</v>
      </c>
      <c r="AD39" s="6" t="n">
        <v>11078</v>
      </c>
      <c r="AE39" s="6" t="n">
        <v>20515</v>
      </c>
      <c r="AF39" s="6" t="n">
        <v>721787</v>
      </c>
    </row>
    <row r="40">
      <c r="A40" s="7" t="inlineStr">
        <is>
          <t>19099785-5</t>
        </is>
      </c>
      <c r="B40" s="7" t="n">
        <v>1</v>
      </c>
      <c r="C40" s="8" t="inlineStr">
        <is>
          <t>CARVAJAL POBLETE CRISTIAN EZEQUIEL</t>
        </is>
      </c>
      <c r="D40" s="8" t="inlineStr">
        <is>
          <t>INGENIERO PMO</t>
        </is>
      </c>
      <c r="E40" s="8" t="inlineStr">
        <is>
          <t>TECHINT - RT</t>
        </is>
      </c>
      <c r="F40" s="8" t="inlineStr">
        <is>
          <t>Indirecto</t>
        </is>
      </c>
      <c r="G40" s="7" t="n">
        <v>30</v>
      </c>
      <c r="H40" s="7" t="n">
        <v>0</v>
      </c>
      <c r="I40" s="9" t="n">
        <v>2240000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213354</v>
      </c>
      <c r="O40" s="9" t="n">
        <v>2453354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2453354</v>
      </c>
      <c r="W40" s="9" t="n">
        <v>280909</v>
      </c>
      <c r="X40" s="9" t="n">
        <v>171735</v>
      </c>
      <c r="Y40" s="9" t="n">
        <v>14720</v>
      </c>
      <c r="Z40" s="9" t="n">
        <v>41322</v>
      </c>
      <c r="AA40" s="9" t="n">
        <v>508686</v>
      </c>
      <c r="AB40" s="9" t="n">
        <v>1944668</v>
      </c>
      <c r="AC40" s="9" t="n">
        <v>22816</v>
      </c>
      <c r="AD40" s="9" t="n">
        <v>39744</v>
      </c>
      <c r="AE40" s="9" t="n">
        <v>58880</v>
      </c>
      <c r="AF40" s="9" t="n">
        <v>2574794</v>
      </c>
    </row>
    <row r="41">
      <c r="A41" s="4" t="inlineStr">
        <is>
          <t>17363318-1</t>
        </is>
      </c>
      <c r="B41" s="4" t="n">
        <v>3</v>
      </c>
      <c r="C41" s="5" t="inlineStr">
        <is>
          <t>CARVAJAL TORREJON DIEGO ALFONSO</t>
        </is>
      </c>
      <c r="D41" s="5" t="inlineStr">
        <is>
          <t>RIGGER</t>
        </is>
      </c>
      <c r="E41" s="5" t="inlineStr">
        <is>
          <t>SERVICIO DE IMPERMEABILIZACION CELDAS RSD1 Y RSD CASERONES</t>
        </is>
      </c>
      <c r="F41" s="5" t="inlineStr">
        <is>
          <t>Directo</t>
        </is>
      </c>
      <c r="G41" s="4" t="n">
        <v>19</v>
      </c>
      <c r="H41" s="4" t="n">
        <v>0</v>
      </c>
      <c r="I41" s="6" t="n">
        <v>1412000</v>
      </c>
      <c r="J41" s="6" t="n">
        <v>0</v>
      </c>
      <c r="K41" s="6" t="n">
        <v>413200</v>
      </c>
      <c r="L41" s="6" t="n">
        <v>0</v>
      </c>
      <c r="M41" s="6" t="n">
        <v>0</v>
      </c>
      <c r="N41" s="6" t="n">
        <v>213354</v>
      </c>
      <c r="O41" s="6" t="n">
        <v>1520821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1522821</v>
      </c>
      <c r="W41" s="6" t="n">
        <v>174134</v>
      </c>
      <c r="X41" s="6" t="n">
        <v>106457</v>
      </c>
      <c r="Y41" s="6" t="n">
        <v>0</v>
      </c>
      <c r="Z41" s="6" t="n">
        <v>11492</v>
      </c>
      <c r="AA41" s="6" t="n">
        <v>292083</v>
      </c>
      <c r="AB41" s="6" t="n">
        <v>1230738</v>
      </c>
      <c r="AC41" s="6" t="n">
        <v>14144</v>
      </c>
      <c r="AD41" s="6" t="n">
        <v>24637</v>
      </c>
      <c r="AE41" s="6" t="n">
        <v>45625</v>
      </c>
      <c r="AF41" s="6" t="n">
        <v>1605227</v>
      </c>
    </row>
    <row r="42">
      <c r="A42" s="7" t="inlineStr">
        <is>
          <t>19302584-6</t>
        </is>
      </c>
      <c r="B42" s="7" t="n">
        <v>2</v>
      </c>
      <c r="C42" s="8" t="inlineStr">
        <is>
          <t>CASTILLO RODRIGUEZ JONATHAN ALEXANDER</t>
        </is>
      </c>
      <c r="D42" s="8" t="inlineStr">
        <is>
          <t>ELECTROMECANICO MANTENCION</t>
        </is>
      </c>
      <c r="E42" s="8" t="inlineStr">
        <is>
          <t>SERVICIO DE IMPERMEABILIZACION CELDAS RSD1 Y RSD CASERONES</t>
        </is>
      </c>
      <c r="F42" s="8" t="inlineStr">
        <is>
          <t>Indirecto</t>
        </is>
      </c>
      <c r="G42" s="7" t="n">
        <v>11</v>
      </c>
      <c r="H42" s="7" t="n">
        <v>0</v>
      </c>
      <c r="I42" s="9" t="n">
        <v>1412000</v>
      </c>
      <c r="J42" s="9" t="n">
        <v>0</v>
      </c>
      <c r="K42" s="9" t="n">
        <v>252500</v>
      </c>
      <c r="L42" s="9" t="n">
        <v>0</v>
      </c>
      <c r="M42" s="9" t="n">
        <v>0</v>
      </c>
      <c r="N42" s="9" t="n">
        <v>192558</v>
      </c>
      <c r="O42" s="9" t="n">
        <v>962791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966791</v>
      </c>
      <c r="W42" s="9" t="n">
        <v>101863</v>
      </c>
      <c r="X42" s="9" t="n">
        <v>67395</v>
      </c>
      <c r="Y42" s="9" t="n">
        <v>0</v>
      </c>
      <c r="Z42" s="9" t="n">
        <v>0</v>
      </c>
      <c r="AA42" s="9" t="n">
        <v>169258</v>
      </c>
      <c r="AB42" s="9" t="n">
        <v>797533</v>
      </c>
      <c r="AC42" s="9" t="n">
        <v>8954</v>
      </c>
      <c r="AD42" s="9" t="n">
        <v>15597</v>
      </c>
      <c r="AE42" s="9" t="n">
        <v>28884</v>
      </c>
      <c r="AF42" s="9" t="n">
        <v>1016226</v>
      </c>
    </row>
    <row r="43">
      <c r="A43" s="4" t="inlineStr">
        <is>
          <t>20952696-4</t>
        </is>
      </c>
      <c r="B43" s="4" t="n">
        <v>2</v>
      </c>
      <c r="C43" s="5" t="inlineStr">
        <is>
          <t>CASTILLO VILLEGAS FRANCO IGNACIO PALMENIO</t>
        </is>
      </c>
      <c r="D43" s="5" t="inlineStr">
        <is>
          <t>TECNICO INSPECCION Y DETECCION DE FUGAS</t>
        </is>
      </c>
      <c r="E43" s="5" t="inlineStr">
        <is>
          <t>TECHINT - RT</t>
        </is>
      </c>
      <c r="F43" s="5" t="inlineStr">
        <is>
          <t>Directo</t>
        </is>
      </c>
      <c r="G43" s="4" t="n">
        <v>30</v>
      </c>
      <c r="H43" s="4" t="n">
        <v>0</v>
      </c>
      <c r="I43" s="6" t="n">
        <v>1315000</v>
      </c>
      <c r="J43" s="6" t="n">
        <v>0</v>
      </c>
      <c r="K43" s="6" t="n">
        <v>225000</v>
      </c>
      <c r="L43" s="6" t="n">
        <v>0</v>
      </c>
      <c r="M43" s="6" t="n">
        <v>0</v>
      </c>
      <c r="N43" s="6" t="n">
        <v>213354</v>
      </c>
      <c r="O43" s="6" t="n">
        <v>1753354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1753354</v>
      </c>
      <c r="W43" s="6" t="n">
        <v>200584</v>
      </c>
      <c r="X43" s="6" t="n">
        <v>122735</v>
      </c>
      <c r="Y43" s="6" t="n">
        <v>0</v>
      </c>
      <c r="Z43" s="6" t="n">
        <v>19084</v>
      </c>
      <c r="AA43" s="6" t="n">
        <v>342403</v>
      </c>
      <c r="AB43" s="6" t="n">
        <v>1410951</v>
      </c>
      <c r="AC43" s="6" t="n">
        <v>16306</v>
      </c>
      <c r="AD43" s="6" t="n">
        <v>28404</v>
      </c>
      <c r="AE43" s="6" t="n">
        <v>52601</v>
      </c>
      <c r="AF43" s="6" t="n">
        <v>1850665</v>
      </c>
    </row>
    <row r="44">
      <c r="A44" s="7" t="inlineStr">
        <is>
          <t>14309302-6</t>
        </is>
      </c>
      <c r="B44" s="7" t="n">
        <v>3</v>
      </c>
      <c r="C44" s="8" t="inlineStr">
        <is>
          <t>CASTRO GARAY IVAN DARIO</t>
        </is>
      </c>
      <c r="D44" s="8" t="inlineStr">
        <is>
          <t>EXPEDITOR</t>
        </is>
      </c>
      <c r="E44" s="8" t="inlineStr">
        <is>
          <t>TECHINT - RT</t>
        </is>
      </c>
      <c r="F44" s="8" t="inlineStr">
        <is>
          <t>Indirecto</t>
        </is>
      </c>
      <c r="G44" s="7" t="n">
        <v>19</v>
      </c>
      <c r="H44" s="7" t="n">
        <v>0</v>
      </c>
      <c r="I44" s="9" t="n">
        <v>1686000</v>
      </c>
      <c r="J44" s="9" t="n">
        <v>0</v>
      </c>
      <c r="K44" s="9" t="n">
        <v>168599</v>
      </c>
      <c r="L44" s="9" t="n">
        <v>0</v>
      </c>
      <c r="M44" s="9" t="n">
        <v>0</v>
      </c>
      <c r="N44" s="9" t="n">
        <v>213354</v>
      </c>
      <c r="O44" s="9" t="n">
        <v>1449753</v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1457753</v>
      </c>
      <c r="W44" s="9" t="n">
        <v>165997</v>
      </c>
      <c r="X44" s="9" t="n">
        <v>101483</v>
      </c>
      <c r="Y44" s="9" t="n">
        <v>0</v>
      </c>
      <c r="Z44" s="9" t="n">
        <v>9173</v>
      </c>
      <c r="AA44" s="9" t="n">
        <v>276653</v>
      </c>
      <c r="AB44" s="9" t="n">
        <v>1181100</v>
      </c>
      <c r="AC44" s="9" t="n">
        <v>13483</v>
      </c>
      <c r="AD44" s="9" t="n">
        <v>23486</v>
      </c>
      <c r="AE44" s="9" t="n">
        <v>43493</v>
      </c>
      <c r="AF44" s="9" t="n">
        <v>1530215</v>
      </c>
    </row>
    <row r="45">
      <c r="A45" s="4" t="inlineStr">
        <is>
          <t>13632515-9</t>
        </is>
      </c>
      <c r="B45" s="4" t="n">
        <v>1</v>
      </c>
      <c r="C45" s="5" t="inlineStr">
        <is>
          <t>CLARK ALFARO MAURICIO ANDRES</t>
        </is>
      </c>
      <c r="D45" s="5" t="inlineStr">
        <is>
          <t>JEFE DE TERRENO</t>
        </is>
      </c>
      <c r="E45" s="5" t="inlineStr">
        <is>
          <t>TECHINT - RT</t>
        </is>
      </c>
      <c r="F45" s="5" t="inlineStr">
        <is>
          <t>Indirecto</t>
        </is>
      </c>
      <c r="G45" s="4" t="n">
        <v>30</v>
      </c>
      <c r="H45" s="4" t="n">
        <v>0</v>
      </c>
      <c r="I45" s="6" t="n">
        <v>1713000</v>
      </c>
      <c r="J45" s="6" t="n">
        <v>0</v>
      </c>
      <c r="K45" s="6" t="n">
        <v>2236000</v>
      </c>
      <c r="L45" s="6" t="n">
        <v>0</v>
      </c>
      <c r="M45" s="6" t="n">
        <v>0</v>
      </c>
      <c r="N45" s="6" t="n">
        <v>213354</v>
      </c>
      <c r="O45" s="6" t="n">
        <v>4162354</v>
      </c>
      <c r="P45" s="6" t="n">
        <v>0</v>
      </c>
      <c r="Q45" s="6" t="n">
        <v>10000</v>
      </c>
      <c r="R45" s="6" t="n">
        <v>77281</v>
      </c>
      <c r="S45" s="6" t="n">
        <v>0</v>
      </c>
      <c r="T45" s="6" t="n">
        <v>0</v>
      </c>
      <c r="U45" s="6" t="n">
        <v>0</v>
      </c>
      <c r="V45" s="6" t="n">
        <v>4249635</v>
      </c>
      <c r="W45" s="6" t="n">
        <v>418493</v>
      </c>
      <c r="X45" s="6" t="n">
        <v>263238</v>
      </c>
      <c r="Y45" s="6" t="n">
        <v>24974</v>
      </c>
      <c r="Z45" s="6" t="n">
        <v>154220</v>
      </c>
      <c r="AA45" s="6" t="n">
        <v>860925</v>
      </c>
      <c r="AB45" s="6" t="n">
        <v>3388710</v>
      </c>
      <c r="AC45" s="6" t="n">
        <v>33991</v>
      </c>
      <c r="AD45" s="6" t="n">
        <v>59210</v>
      </c>
      <c r="AE45" s="6" t="n">
        <v>99896</v>
      </c>
      <c r="AF45" s="6" t="n">
        <v>4355451</v>
      </c>
    </row>
    <row r="46">
      <c r="A46" s="7" t="inlineStr">
        <is>
          <t>17112456-5</t>
        </is>
      </c>
      <c r="B46" s="7" t="n">
        <v>1</v>
      </c>
      <c r="C46" s="8" t="inlineStr">
        <is>
          <t>CORTES AVILES IVAN ALEJANDRO</t>
        </is>
      </c>
      <c r="D46" s="8" t="inlineStr">
        <is>
          <t>MAESTRO PRIMERA GEOSINTETICOS</t>
        </is>
      </c>
      <c r="E46" s="8" t="inlineStr">
        <is>
          <t>SERVICIO DE IMPERMEABILIZACION CELDAS RSD1 Y RSD CASERONES</t>
        </is>
      </c>
      <c r="F46" s="8" t="inlineStr">
        <is>
          <t>Directo</t>
        </is>
      </c>
      <c r="G46" s="7" t="n">
        <v>5</v>
      </c>
      <c r="H46" s="7" t="n">
        <v>0</v>
      </c>
      <c r="I46" s="9" t="n">
        <v>1468000</v>
      </c>
      <c r="J46" s="9" t="n">
        <v>0</v>
      </c>
      <c r="K46" s="9" t="n">
        <v>125000</v>
      </c>
      <c r="L46" s="9" t="n">
        <v>0</v>
      </c>
      <c r="M46" s="9" t="n">
        <v>0</v>
      </c>
      <c r="N46" s="9" t="n">
        <v>92417</v>
      </c>
      <c r="O46" s="9" t="n">
        <v>462084</v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462084</v>
      </c>
      <c r="W46" s="9" t="n">
        <v>52909</v>
      </c>
      <c r="X46" s="9" t="n">
        <v>32346</v>
      </c>
      <c r="Y46" s="9" t="n">
        <v>0</v>
      </c>
      <c r="Z46" s="9" t="n">
        <v>0</v>
      </c>
      <c r="AA46" s="9" t="n">
        <v>85255</v>
      </c>
      <c r="AB46" s="9" t="n">
        <v>376829</v>
      </c>
      <c r="AC46" s="9" t="n">
        <v>4297</v>
      </c>
      <c r="AD46" s="9" t="n">
        <v>7486</v>
      </c>
      <c r="AE46" s="9" t="n">
        <v>13863</v>
      </c>
      <c r="AF46" s="9" t="n">
        <v>487730</v>
      </c>
    </row>
    <row r="47">
      <c r="A47" s="4" t="inlineStr">
        <is>
          <t>16195159-5</t>
        </is>
      </c>
      <c r="B47" s="4" t="n">
        <v>2</v>
      </c>
      <c r="C47" s="5" t="inlineStr">
        <is>
          <t>CORTES BORQUEZ LUIS MIGUEL</t>
        </is>
      </c>
      <c r="D47" s="5" t="inlineStr">
        <is>
          <t>AYUDANTE GEOSINTETICOS</t>
        </is>
      </c>
      <c r="E47" s="5" t="inlineStr">
        <is>
          <t>TECHINT - RT</t>
        </is>
      </c>
      <c r="F47" s="5" t="inlineStr">
        <is>
          <t>Directo</t>
        </is>
      </c>
      <c r="G47" s="4" t="n">
        <v>17</v>
      </c>
      <c r="H47" s="4" t="n">
        <v>0</v>
      </c>
      <c r="I47" s="6" t="n">
        <v>746000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105683</v>
      </c>
      <c r="O47" s="6" t="n">
        <v>528416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528416</v>
      </c>
      <c r="W47" s="6" t="n">
        <v>60504</v>
      </c>
      <c r="X47" s="6" t="n">
        <v>36989</v>
      </c>
      <c r="Y47" s="6" t="n">
        <v>0</v>
      </c>
      <c r="Z47" s="6" t="n">
        <v>0</v>
      </c>
      <c r="AA47" s="6" t="n">
        <v>97493</v>
      </c>
      <c r="AB47" s="6" t="n">
        <v>430923</v>
      </c>
      <c r="AC47" s="6" t="n">
        <v>4914</v>
      </c>
      <c r="AD47" s="6" t="n">
        <v>8560</v>
      </c>
      <c r="AE47" s="6" t="n">
        <v>15852</v>
      </c>
      <c r="AF47" s="6" t="n">
        <v>557742</v>
      </c>
    </row>
    <row r="48">
      <c r="A48" s="7" t="inlineStr">
        <is>
          <t>14296775-8</t>
        </is>
      </c>
      <c r="B48" s="7" t="n">
        <v>1</v>
      </c>
      <c r="C48" s="8" t="inlineStr">
        <is>
          <t>CORTES HINAREJO ALEXIS RODRIGO</t>
        </is>
      </c>
      <c r="D48" s="8" t="inlineStr">
        <is>
          <t>JEFE DE TERRENO</t>
        </is>
      </c>
      <c r="E48" s="8" t="inlineStr">
        <is>
          <t>SERVICIO DE IMPERMEABILIZACION CELDAS RSD1 Y RSD CASERONES</t>
        </is>
      </c>
      <c r="F48" s="8" t="inlineStr">
        <is>
          <t>Indirecto</t>
        </is>
      </c>
      <c r="G48" s="7" t="n">
        <v>30</v>
      </c>
      <c r="H48" s="7" t="n">
        <v>0</v>
      </c>
      <c r="I48" s="9" t="n">
        <v>1713000</v>
      </c>
      <c r="J48" s="9" t="n">
        <v>0</v>
      </c>
      <c r="K48" s="9" t="n">
        <v>1869000</v>
      </c>
      <c r="L48" s="9" t="n">
        <v>0</v>
      </c>
      <c r="M48" s="9" t="n">
        <v>0</v>
      </c>
      <c r="N48" s="9" t="n">
        <v>213354</v>
      </c>
      <c r="O48" s="9" t="n">
        <v>3795354</v>
      </c>
      <c r="P48" s="9" t="n">
        <v>0</v>
      </c>
      <c r="Q48" s="9" t="n">
        <v>10000</v>
      </c>
      <c r="R48" s="9" t="n">
        <v>77281</v>
      </c>
      <c r="S48" s="9" t="n">
        <v>0</v>
      </c>
      <c r="T48" s="9" t="n">
        <v>0</v>
      </c>
      <c r="U48" s="9" t="n">
        <v>0</v>
      </c>
      <c r="V48" s="9" t="n">
        <v>3882635</v>
      </c>
      <c r="W48" s="9" t="n">
        <v>418128</v>
      </c>
      <c r="X48" s="9" t="n">
        <v>255847</v>
      </c>
      <c r="Y48" s="9" t="n">
        <v>22772</v>
      </c>
      <c r="Z48" s="9" t="n">
        <v>125065</v>
      </c>
      <c r="AA48" s="9" t="n">
        <v>821812</v>
      </c>
      <c r="AB48" s="9" t="n">
        <v>3060823</v>
      </c>
      <c r="AC48" s="9" t="n">
        <v>33991</v>
      </c>
      <c r="AD48" s="9" t="n">
        <v>59210</v>
      </c>
      <c r="AE48" s="9" t="n">
        <v>91088</v>
      </c>
      <c r="AF48" s="9" t="n">
        <v>3979643</v>
      </c>
    </row>
    <row r="49">
      <c r="A49" s="4" t="inlineStr">
        <is>
          <t>10143125-8</t>
        </is>
      </c>
      <c r="B49" s="4" t="n">
        <v>2</v>
      </c>
      <c r="C49" s="5" t="inlineStr">
        <is>
          <t>CORTES ROJAS HERMAN MILTON</t>
        </is>
      </c>
      <c r="D49" s="5" t="inlineStr">
        <is>
          <t>AYUDANTE GEOSINTETICOS</t>
        </is>
      </c>
      <c r="E49" s="5" t="inlineStr">
        <is>
          <t>TECHINT - RT</t>
        </is>
      </c>
      <c r="F49" s="5" t="inlineStr">
        <is>
          <t>Directo</t>
        </is>
      </c>
      <c r="G49" s="4" t="n">
        <v>17</v>
      </c>
      <c r="H49" s="4" t="n">
        <v>0</v>
      </c>
      <c r="I49" s="6" t="n">
        <v>746000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105683</v>
      </c>
      <c r="O49" s="6" t="n">
        <v>528416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528416</v>
      </c>
      <c r="W49" s="6" t="n">
        <v>60451</v>
      </c>
      <c r="X49" s="6" t="n">
        <v>36989</v>
      </c>
      <c r="Y49" s="6" t="n">
        <v>0</v>
      </c>
      <c r="Z49" s="6" t="n">
        <v>0</v>
      </c>
      <c r="AA49" s="6" t="n">
        <v>97440</v>
      </c>
      <c r="AB49" s="6" t="n">
        <v>430976</v>
      </c>
      <c r="AC49" s="6" t="n">
        <v>4914</v>
      </c>
      <c r="AD49" s="6" t="n">
        <v>8560</v>
      </c>
      <c r="AE49" s="6" t="n">
        <v>15852</v>
      </c>
      <c r="AF49" s="6" t="n">
        <v>557742</v>
      </c>
    </row>
    <row r="50">
      <c r="A50" s="7" t="inlineStr">
        <is>
          <t>14129064-9</t>
        </is>
      </c>
      <c r="B50" s="7" t="n">
        <v>1</v>
      </c>
      <c r="C50" s="8" t="inlineStr">
        <is>
          <t>DIAZ BASOALTO ANDRES EDUARDO</t>
        </is>
      </c>
      <c r="D50" s="8" t="inlineStr">
        <is>
          <t>SUBGERENTE CONTABILIDAD Y FINANZAS</t>
        </is>
      </c>
      <c r="E50" s="8" t="inlineStr">
        <is>
          <t>Dpto. Contab. Y Fin</t>
        </is>
      </c>
      <c r="F50" s="8" t="inlineStr">
        <is>
          <t>Oficina</t>
        </is>
      </c>
      <c r="G50" s="7" t="n">
        <v>30</v>
      </c>
      <c r="H50" s="7" t="n">
        <v>0</v>
      </c>
      <c r="I50" s="9" t="n">
        <v>5318000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213354</v>
      </c>
      <c r="O50" s="9" t="n">
        <v>5531354</v>
      </c>
      <c r="P50" s="9" t="n">
        <v>73500</v>
      </c>
      <c r="Q50" s="9" t="n">
        <v>10000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5614854</v>
      </c>
      <c r="W50" s="9" t="n">
        <v>411914</v>
      </c>
      <c r="X50" s="9" t="n">
        <v>281432</v>
      </c>
      <c r="Y50" s="9" t="n">
        <v>32943</v>
      </c>
      <c r="Z50" s="9" t="n">
        <v>335198</v>
      </c>
      <c r="AA50" s="9" t="n">
        <v>1061487</v>
      </c>
      <c r="AB50" s="9" t="n">
        <v>4553367</v>
      </c>
      <c r="AC50" s="9" t="n">
        <v>33991</v>
      </c>
      <c r="AD50" s="9" t="n">
        <v>59210</v>
      </c>
      <c r="AE50" s="9" t="n">
        <v>131774</v>
      </c>
      <c r="AF50" s="9" t="n">
        <v>5756329</v>
      </c>
    </row>
    <row r="51">
      <c r="A51" s="4" t="inlineStr">
        <is>
          <t>16911975-9</t>
        </is>
      </c>
      <c r="B51" s="4" t="n">
        <v>1</v>
      </c>
      <c r="C51" s="5" t="inlineStr">
        <is>
          <t>DIAZ GUAJARDO KATHERINE VALESKA</t>
        </is>
      </c>
      <c r="D51" s="5" t="inlineStr">
        <is>
          <t>ENCARGADO DOCUMENTAL DE DESPACHO</t>
        </is>
      </c>
      <c r="E51" s="5" t="inlineStr">
        <is>
          <t>Dpto. Contab. Y Fin</t>
        </is>
      </c>
      <c r="F51" s="5" t="inlineStr">
        <is>
          <t>Oficina</t>
        </is>
      </c>
      <c r="G51" s="4" t="n">
        <v>30</v>
      </c>
      <c r="H51" s="4" t="n">
        <v>0</v>
      </c>
      <c r="I51" s="6" t="n">
        <v>1568284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213354</v>
      </c>
      <c r="O51" s="6" t="n">
        <v>1781638</v>
      </c>
      <c r="P51" s="6" t="n">
        <v>73500</v>
      </c>
      <c r="Q51" s="6" t="n">
        <v>10000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1865138</v>
      </c>
      <c r="W51" s="6" t="n">
        <v>203819</v>
      </c>
      <c r="X51" s="6" t="n">
        <v>124715</v>
      </c>
      <c r="Y51" s="6" t="n">
        <v>10690</v>
      </c>
      <c r="Z51" s="6" t="n">
        <v>19579</v>
      </c>
      <c r="AA51" s="6" t="n">
        <v>358803</v>
      </c>
      <c r="AB51" s="6" t="n">
        <v>1506335</v>
      </c>
      <c r="AC51" s="6" t="n">
        <v>16569</v>
      </c>
      <c r="AD51" s="6" t="n">
        <v>28863</v>
      </c>
      <c r="AE51" s="6" t="n">
        <v>42759</v>
      </c>
      <c r="AF51" s="6" t="n">
        <v>1869829</v>
      </c>
    </row>
    <row r="52">
      <c r="A52" s="7" t="inlineStr">
        <is>
          <t>28459164-K</t>
        </is>
      </c>
      <c r="B52" s="7" t="n">
        <v>1</v>
      </c>
      <c r="C52" s="8" t="inlineStr">
        <is>
          <t>DURAN MENDOZA ROLANDO</t>
        </is>
      </c>
      <c r="D52" s="8" t="inlineStr">
        <is>
          <t>AYUDANTE GEOSINTETICOS</t>
        </is>
      </c>
      <c r="E52" s="8" t="inlineStr">
        <is>
          <t>SERVICIO DE IMPERMEABILIZACION CELDAS RSD1 Y RSD CASERONES</t>
        </is>
      </c>
      <c r="F52" s="8" t="inlineStr">
        <is>
          <t>Directo</t>
        </is>
      </c>
      <c r="G52" s="7" t="n">
        <v>5</v>
      </c>
      <c r="H52" s="7" t="n">
        <v>0</v>
      </c>
      <c r="I52" s="9" t="n">
        <v>834000</v>
      </c>
      <c r="J52" s="9" t="n">
        <v>0</v>
      </c>
      <c r="K52" s="9" t="n">
        <v>125000</v>
      </c>
      <c r="L52" s="9" t="n">
        <v>0</v>
      </c>
      <c r="M52" s="9" t="n">
        <v>0</v>
      </c>
      <c r="N52" s="9" t="n">
        <v>66000</v>
      </c>
      <c r="O52" s="9" t="n">
        <v>330000</v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330000</v>
      </c>
      <c r="W52" s="9" t="n">
        <v>34518</v>
      </c>
      <c r="X52" s="9" t="n">
        <v>23100</v>
      </c>
      <c r="Y52" s="9" t="n">
        <v>0</v>
      </c>
      <c r="Z52" s="9" t="n">
        <v>0</v>
      </c>
      <c r="AA52" s="9" t="n">
        <v>57618</v>
      </c>
      <c r="AB52" s="9" t="n">
        <v>272382</v>
      </c>
      <c r="AC52" s="9" t="n">
        <v>3069</v>
      </c>
      <c r="AD52" s="9" t="n">
        <v>5346</v>
      </c>
      <c r="AE52" s="9" t="n">
        <v>9900</v>
      </c>
      <c r="AF52" s="9" t="n">
        <v>348315</v>
      </c>
    </row>
    <row r="53">
      <c r="A53" s="4" t="inlineStr">
        <is>
          <t>19123828-1</t>
        </is>
      </c>
      <c r="B53" s="4" t="n">
        <v>2</v>
      </c>
      <c r="C53" s="5" t="inlineStr">
        <is>
          <t>ESPARZA COLLA GIOVANNI ANTONIO</t>
        </is>
      </c>
      <c r="D53" s="5" t="inlineStr">
        <is>
          <t>MAESTRO PRIMERA GEOSINTETICOS</t>
        </is>
      </c>
      <c r="E53" s="5" t="inlineStr">
        <is>
          <t>TECHINT - RT</t>
        </is>
      </c>
      <c r="F53" s="5" t="inlineStr">
        <is>
          <t>Directo</t>
        </is>
      </c>
      <c r="G53" s="4" t="n">
        <v>12</v>
      </c>
      <c r="H53" s="4" t="n">
        <v>0</v>
      </c>
      <c r="I53" s="6" t="n">
        <v>1315000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131500</v>
      </c>
      <c r="O53" s="6" t="n">
        <v>657500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657500</v>
      </c>
      <c r="W53" s="6" t="n">
        <v>69564</v>
      </c>
      <c r="X53" s="6" t="n">
        <v>46025</v>
      </c>
      <c r="Y53" s="6" t="n">
        <v>0</v>
      </c>
      <c r="Z53" s="6" t="n">
        <v>0</v>
      </c>
      <c r="AA53" s="6" t="n">
        <v>115589</v>
      </c>
      <c r="AB53" s="6" t="n">
        <v>541911</v>
      </c>
      <c r="AC53" s="6" t="n">
        <v>6115</v>
      </c>
      <c r="AD53" s="6" t="n">
        <v>10652</v>
      </c>
      <c r="AE53" s="6" t="n">
        <v>19725</v>
      </c>
      <c r="AF53" s="6" t="n">
        <v>693992</v>
      </c>
    </row>
    <row r="54">
      <c r="A54" s="7" t="inlineStr">
        <is>
          <t>18055189-1</t>
        </is>
      </c>
      <c r="B54" s="7" t="n">
        <v>2</v>
      </c>
      <c r="C54" s="8" t="inlineStr">
        <is>
          <t>ESPINOZA MEDINA RICARDO IGNACIO</t>
        </is>
      </c>
      <c r="D54" s="8" t="inlineStr">
        <is>
          <t>CAPATAZ INSPECCION Y DETECCION DE FUGAS</t>
        </is>
      </c>
      <c r="E54" s="8" t="inlineStr">
        <is>
          <t>TECHINT - RT</t>
        </is>
      </c>
      <c r="F54" s="8" t="inlineStr">
        <is>
          <t>Directo</t>
        </is>
      </c>
      <c r="G54" s="7" t="n">
        <v>30</v>
      </c>
      <c r="H54" s="7" t="n">
        <v>0</v>
      </c>
      <c r="I54" s="9" t="n">
        <v>1550000</v>
      </c>
      <c r="J54" s="9" t="n">
        <v>0</v>
      </c>
      <c r="K54" s="9" t="n">
        <v>999995</v>
      </c>
      <c r="L54" s="9" t="n">
        <v>0</v>
      </c>
      <c r="M54" s="9" t="n">
        <v>0</v>
      </c>
      <c r="N54" s="9" t="n">
        <v>213354</v>
      </c>
      <c r="O54" s="9" t="n">
        <v>2763349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2788649</v>
      </c>
      <c r="W54" s="9" t="n">
        <v>316127</v>
      </c>
      <c r="X54" s="9" t="n">
        <v>193434</v>
      </c>
      <c r="Y54" s="9" t="n">
        <v>0</v>
      </c>
      <c r="Z54" s="9" t="n">
        <v>57480</v>
      </c>
      <c r="AA54" s="9" t="n">
        <v>567041</v>
      </c>
      <c r="AB54" s="9" t="n">
        <v>2221608</v>
      </c>
      <c r="AC54" s="9" t="n">
        <v>25699</v>
      </c>
      <c r="AD54" s="9" t="n">
        <v>44766</v>
      </c>
      <c r="AE54" s="9" t="n">
        <v>82900</v>
      </c>
      <c r="AF54" s="9" t="n">
        <v>2916714</v>
      </c>
    </row>
    <row r="55">
      <c r="A55" s="4" t="inlineStr">
        <is>
          <t>20248225-2</t>
        </is>
      </c>
      <c r="B55" s="4" t="n">
        <v>1</v>
      </c>
      <c r="C55" s="5" t="inlineStr">
        <is>
          <t>ESPINOZA PAREDES VICTOR MATIAS</t>
        </is>
      </c>
      <c r="D55" s="5" t="inlineStr">
        <is>
          <t>AYUDANTE GEOSINTETICOS</t>
        </is>
      </c>
      <c r="E55" s="5" t="inlineStr">
        <is>
          <t>SERVICIO DE IMPERMEABILIZACION CELDAS RSD1 Y RSD CASERONES</t>
        </is>
      </c>
      <c r="F55" s="5" t="inlineStr">
        <is>
          <t>Directo</t>
        </is>
      </c>
      <c r="G55" s="4" t="n">
        <v>5</v>
      </c>
      <c r="H55" s="4" t="n">
        <v>0</v>
      </c>
      <c r="I55" s="6" t="n">
        <v>834000</v>
      </c>
      <c r="J55" s="6" t="n">
        <v>0</v>
      </c>
      <c r="K55" s="6" t="n">
        <v>125000</v>
      </c>
      <c r="L55" s="6" t="n">
        <v>0</v>
      </c>
      <c r="M55" s="6" t="n">
        <v>0</v>
      </c>
      <c r="N55" s="6" t="n">
        <v>66000</v>
      </c>
      <c r="O55" s="6" t="n">
        <v>330000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333000</v>
      </c>
      <c r="W55" s="6" t="n">
        <v>36828</v>
      </c>
      <c r="X55" s="6" t="n">
        <v>23100</v>
      </c>
      <c r="Y55" s="6" t="n">
        <v>0</v>
      </c>
      <c r="Z55" s="6" t="n">
        <v>0</v>
      </c>
      <c r="AA55" s="6" t="n">
        <v>59928</v>
      </c>
      <c r="AB55" s="6" t="n">
        <v>273072</v>
      </c>
      <c r="AC55" s="6" t="n">
        <v>3069</v>
      </c>
      <c r="AD55" s="6" t="n">
        <v>5346</v>
      </c>
      <c r="AE55" s="6" t="n">
        <v>9900</v>
      </c>
      <c r="AF55" s="6" t="n">
        <v>348315</v>
      </c>
    </row>
    <row r="56">
      <c r="A56" s="7" t="inlineStr">
        <is>
          <t>20248225-2</t>
        </is>
      </c>
      <c r="B56" s="7" t="n">
        <v>2</v>
      </c>
      <c r="C56" s="8" t="inlineStr">
        <is>
          <t>ESPINOZA PAREDES VICTOR MATIAS</t>
        </is>
      </c>
      <c r="D56" s="8" t="inlineStr">
        <is>
          <t>AYUDANTE GEOSINTETICOS</t>
        </is>
      </c>
      <c r="E56" s="8" t="inlineStr">
        <is>
          <t>TECHINT - RT</t>
        </is>
      </c>
      <c r="F56" s="8" t="inlineStr">
        <is>
          <t>Directo</t>
        </is>
      </c>
      <c r="G56" s="7" t="n">
        <v>21</v>
      </c>
      <c r="H56" s="7" t="n">
        <v>0</v>
      </c>
      <c r="I56" s="9" t="n">
        <v>746000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130550</v>
      </c>
      <c r="O56" s="9" t="n">
        <v>652750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652750</v>
      </c>
      <c r="W56" s="9" t="n">
        <v>72847</v>
      </c>
      <c r="X56" s="9" t="n">
        <v>45693</v>
      </c>
      <c r="Y56" s="9" t="n">
        <v>0</v>
      </c>
      <c r="Z56" s="9" t="n">
        <v>0</v>
      </c>
      <c r="AA56" s="9" t="n">
        <v>118540</v>
      </c>
      <c r="AB56" s="9" t="n">
        <v>534210</v>
      </c>
      <c r="AC56" s="9" t="n">
        <v>6071</v>
      </c>
      <c r="AD56" s="9" t="n">
        <v>10575</v>
      </c>
      <c r="AE56" s="9" t="n">
        <v>19582</v>
      </c>
      <c r="AF56" s="9" t="n">
        <v>688978</v>
      </c>
    </row>
    <row r="57">
      <c r="A57" s="4" t="inlineStr">
        <is>
          <t>16443686-1</t>
        </is>
      </c>
      <c r="B57" s="4" t="n">
        <v>3</v>
      </c>
      <c r="C57" s="5" t="inlineStr">
        <is>
          <t>ESQUIVEL OPAZO JUAN HERMAN ULIESES</t>
        </is>
      </c>
      <c r="D57" s="5" t="inlineStr">
        <is>
          <t>ASESOR PREVENCION DE RIESGOS</t>
        </is>
      </c>
      <c r="E57" s="5" t="inlineStr">
        <is>
          <t>SERVICIO DE IMPERMEABILIZACION CELDAS RSD1 Y RSD CASERONES</t>
        </is>
      </c>
      <c r="F57" s="5" t="inlineStr">
        <is>
          <t>Indirecto</t>
        </is>
      </c>
      <c r="G57" s="4" t="n">
        <v>19</v>
      </c>
      <c r="H57" s="4" t="n">
        <v>0</v>
      </c>
      <c r="I57" s="6" t="n">
        <v>2308000</v>
      </c>
      <c r="J57" s="6" t="n">
        <v>0</v>
      </c>
      <c r="K57" s="6" t="n">
        <v>225000</v>
      </c>
      <c r="L57" s="6" t="n">
        <v>0</v>
      </c>
      <c r="M57" s="6" t="n">
        <v>0</v>
      </c>
      <c r="N57" s="6" t="n">
        <v>213354</v>
      </c>
      <c r="O57" s="6" t="n">
        <v>1900087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1900087</v>
      </c>
      <c r="W57" s="6" t="n">
        <v>217370</v>
      </c>
      <c r="X57" s="6" t="n">
        <v>169007</v>
      </c>
      <c r="Y57" s="6" t="n">
        <v>0</v>
      </c>
      <c r="Z57" s="6" t="n">
        <v>22431</v>
      </c>
      <c r="AA57" s="6" t="n">
        <v>408808</v>
      </c>
      <c r="AB57" s="6" t="n">
        <v>1491279</v>
      </c>
      <c r="AC57" s="6" t="n">
        <v>17671</v>
      </c>
      <c r="AD57" s="6" t="n">
        <v>30781</v>
      </c>
      <c r="AE57" s="6" t="n">
        <v>57003</v>
      </c>
      <c r="AF57" s="6" t="n">
        <v>2005542</v>
      </c>
    </row>
    <row r="58">
      <c r="A58" s="7" t="inlineStr">
        <is>
          <t>11265430-5</t>
        </is>
      </c>
      <c r="B58" s="7" t="n">
        <v>1</v>
      </c>
      <c r="C58" s="8" t="inlineStr">
        <is>
          <t>FAUNDEZ ORTIZ CESAR HERNAN</t>
        </is>
      </c>
      <c r="D58" s="8" t="inlineStr">
        <is>
          <t>TOPOGRAFO - NIVELADOR</t>
        </is>
      </c>
      <c r="E58" s="8" t="inlineStr">
        <is>
          <t>TECHINT - RT</t>
        </is>
      </c>
      <c r="F58" s="8" t="inlineStr">
        <is>
          <t>Indirecto</t>
        </is>
      </c>
      <c r="G58" s="7" t="n">
        <v>30</v>
      </c>
      <c r="H58" s="7" t="n">
        <v>0</v>
      </c>
      <c r="I58" s="9" t="n">
        <v>2350000</v>
      </c>
      <c r="J58" s="9" t="n">
        <v>0</v>
      </c>
      <c r="K58" s="9" t="n">
        <v>837000</v>
      </c>
      <c r="L58" s="9" t="n">
        <v>0</v>
      </c>
      <c r="M58" s="9" t="n">
        <v>0</v>
      </c>
      <c r="N58" s="9" t="n">
        <v>213354</v>
      </c>
      <c r="O58" s="9" t="n">
        <v>3400354</v>
      </c>
      <c r="P58" s="9" t="n">
        <v>0</v>
      </c>
      <c r="Q58" s="9" t="n">
        <v>10000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3410354</v>
      </c>
      <c r="W58" s="9" t="n">
        <v>383220</v>
      </c>
      <c r="X58" s="9" t="n">
        <v>289717</v>
      </c>
      <c r="Y58" s="9" t="n">
        <v>20402</v>
      </c>
      <c r="Z58" s="9" t="n">
        <v>96448</v>
      </c>
      <c r="AA58" s="9" t="n">
        <v>789787</v>
      </c>
      <c r="AB58" s="9" t="n">
        <v>2620567</v>
      </c>
      <c r="AC58" s="9" t="n">
        <v>31623</v>
      </c>
      <c r="AD58" s="9" t="n">
        <v>55086</v>
      </c>
      <c r="AE58" s="9" t="n">
        <v>81608</v>
      </c>
      <c r="AF58" s="9" t="n">
        <v>3568671</v>
      </c>
    </row>
    <row r="59">
      <c r="A59" s="4" t="inlineStr">
        <is>
          <t>25247969-4</t>
        </is>
      </c>
      <c r="B59" s="4" t="n">
        <v>2</v>
      </c>
      <c r="C59" s="5" t="inlineStr">
        <is>
          <t>GARCIA BISBICUS KAROL TATIANA</t>
        </is>
      </c>
      <c r="D59" s="5" t="inlineStr">
        <is>
          <t>TECNICO RECURSOS HUMANOS</t>
        </is>
      </c>
      <c r="E59" s="5" t="inlineStr">
        <is>
          <t>TECHINT - RT</t>
        </is>
      </c>
      <c r="F59" s="5" t="inlineStr">
        <is>
          <t>Indirecto</t>
        </is>
      </c>
      <c r="G59" s="4" t="n">
        <v>28</v>
      </c>
      <c r="H59" s="4" t="n">
        <v>0</v>
      </c>
      <c r="I59" s="6" t="n">
        <v>1550000</v>
      </c>
      <c r="J59" s="6" t="n">
        <v>0</v>
      </c>
      <c r="K59" s="6" t="n">
        <v>154999</v>
      </c>
      <c r="L59" s="6" t="n">
        <v>0</v>
      </c>
      <c r="M59" s="6" t="n">
        <v>0</v>
      </c>
      <c r="N59" s="6" t="n">
        <v>213354</v>
      </c>
      <c r="O59" s="6" t="n">
        <v>1815020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1815020</v>
      </c>
      <c r="W59" s="6" t="n">
        <v>202556</v>
      </c>
      <c r="X59" s="6" t="n">
        <v>127051</v>
      </c>
      <c r="Y59" s="6" t="n">
        <v>0</v>
      </c>
      <c r="Z59" s="6" t="n">
        <v>21299</v>
      </c>
      <c r="AA59" s="6" t="n">
        <v>350906</v>
      </c>
      <c r="AB59" s="6" t="n">
        <v>1464114</v>
      </c>
      <c r="AC59" s="6" t="n">
        <v>16880</v>
      </c>
      <c r="AD59" s="6" t="n">
        <v>29403</v>
      </c>
      <c r="AE59" s="6" t="n">
        <v>54451</v>
      </c>
      <c r="AF59" s="6" t="n">
        <v>1915754</v>
      </c>
    </row>
    <row r="60">
      <c r="A60" s="7" t="inlineStr">
        <is>
          <t>18274939-7</t>
        </is>
      </c>
      <c r="B60" s="7" t="n">
        <v>2</v>
      </c>
      <c r="C60" s="8" t="inlineStr">
        <is>
          <t>GATICA MORALES MARISOL ALEJANDRA</t>
        </is>
      </c>
      <c r="D60" s="8" t="inlineStr">
        <is>
          <t>ASESOR PREVENCION DE RIESGOS</t>
        </is>
      </c>
      <c r="E60" s="8" t="inlineStr">
        <is>
          <t>TECHINT - RT</t>
        </is>
      </c>
      <c r="F60" s="8" t="inlineStr">
        <is>
          <t>Indirecto</t>
        </is>
      </c>
      <c r="G60" s="7" t="n">
        <v>14</v>
      </c>
      <c r="H60" s="7" t="n">
        <v>0</v>
      </c>
      <c r="I60" s="9" t="n">
        <v>2243000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213354</v>
      </c>
      <c r="O60" s="9" t="n">
        <v>1260087</v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1260087</v>
      </c>
      <c r="W60" s="9" t="n">
        <v>140626</v>
      </c>
      <c r="X60" s="9" t="n">
        <v>88206</v>
      </c>
      <c r="Y60" s="9" t="n">
        <v>0</v>
      </c>
      <c r="Z60" s="9" t="n">
        <v>3133</v>
      </c>
      <c r="AA60" s="9" t="n">
        <v>231965</v>
      </c>
      <c r="AB60" s="9" t="n">
        <v>1028122</v>
      </c>
      <c r="AC60" s="9" t="n">
        <v>11719</v>
      </c>
      <c r="AD60" s="9" t="n">
        <v>20413</v>
      </c>
      <c r="AE60" s="9" t="n">
        <v>37803</v>
      </c>
      <c r="AF60" s="9" t="n">
        <v>1330022</v>
      </c>
    </row>
    <row r="61">
      <c r="A61" s="4" t="inlineStr">
        <is>
          <t>19398564-5</t>
        </is>
      </c>
      <c r="B61" s="4" t="n">
        <v>2</v>
      </c>
      <c r="C61" s="5" t="inlineStr">
        <is>
          <t>GIJON TELLO JAVIERA YASMINA</t>
        </is>
      </c>
      <c r="D61" s="5" t="inlineStr">
        <is>
          <t>ASESOR PREVENCION DE RIESGOS</t>
        </is>
      </c>
      <c r="E61" s="5" t="inlineStr">
        <is>
          <t>TECHINT - RT</t>
        </is>
      </c>
      <c r="F61" s="5" t="inlineStr">
        <is>
          <t>Indirecto</t>
        </is>
      </c>
      <c r="G61" s="4" t="n">
        <v>30</v>
      </c>
      <c r="H61" s="4" t="n">
        <v>0</v>
      </c>
      <c r="I61" s="6" t="n">
        <v>2243000</v>
      </c>
      <c r="J61" s="6" t="n">
        <v>0</v>
      </c>
      <c r="K61" s="6" t="n">
        <v>448598</v>
      </c>
      <c r="L61" s="6" t="n">
        <v>0</v>
      </c>
      <c r="M61" s="6" t="n">
        <v>0</v>
      </c>
      <c r="N61" s="6" t="n">
        <v>213354</v>
      </c>
      <c r="O61" s="6" t="n">
        <v>2904952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2928505</v>
      </c>
      <c r="W61" s="6" t="n">
        <v>332617</v>
      </c>
      <c r="X61" s="6" t="n">
        <v>203347</v>
      </c>
      <c r="Y61" s="6" t="n">
        <v>0</v>
      </c>
      <c r="Z61" s="6" t="n">
        <v>66696</v>
      </c>
      <c r="AA61" s="6" t="n">
        <v>602660</v>
      </c>
      <c r="AB61" s="6" t="n">
        <v>2325845</v>
      </c>
      <c r="AC61" s="6" t="n">
        <v>27016</v>
      </c>
      <c r="AD61" s="6" t="n">
        <v>47060</v>
      </c>
      <c r="AE61" s="6" t="n">
        <v>87149</v>
      </c>
      <c r="AF61" s="6" t="n">
        <v>3066177</v>
      </c>
    </row>
    <row r="62">
      <c r="A62" s="7" t="inlineStr">
        <is>
          <t>24207498-K</t>
        </is>
      </c>
      <c r="B62" s="7" t="n">
        <v>2</v>
      </c>
      <c r="C62" s="8" t="inlineStr">
        <is>
          <t>GOMEZ MONTERO ALVARO ERICK</t>
        </is>
      </c>
      <c r="D62" s="8" t="inlineStr">
        <is>
          <t>MAESTRO SEGUNDA GEOSINTETICOS</t>
        </is>
      </c>
      <c r="E62" s="8" t="inlineStr">
        <is>
          <t>TECHINT - RT</t>
        </is>
      </c>
      <c r="F62" s="8" t="inlineStr">
        <is>
          <t>Directo</t>
        </is>
      </c>
      <c r="G62" s="7" t="n">
        <v>21</v>
      </c>
      <c r="H62" s="7" t="n">
        <v>0</v>
      </c>
      <c r="I62" s="9" t="n">
        <v>850000</v>
      </c>
      <c r="J62" s="9" t="n">
        <v>0</v>
      </c>
      <c r="K62" s="9" t="n">
        <v>255000</v>
      </c>
      <c r="L62" s="9" t="n">
        <v>0</v>
      </c>
      <c r="M62" s="9" t="n">
        <v>0</v>
      </c>
      <c r="N62" s="9" t="n">
        <v>212500</v>
      </c>
      <c r="O62" s="9" t="n">
        <v>1062500</v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1062500</v>
      </c>
      <c r="W62" s="9" t="n">
        <v>112412</v>
      </c>
      <c r="X62" s="9" t="n">
        <v>74375</v>
      </c>
      <c r="Y62" s="9" t="n">
        <v>0</v>
      </c>
      <c r="Z62" s="9" t="n">
        <v>0</v>
      </c>
      <c r="AA62" s="9" t="n">
        <v>186787</v>
      </c>
      <c r="AB62" s="9" t="n">
        <v>875713</v>
      </c>
      <c r="AC62" s="9" t="n">
        <v>9881</v>
      </c>
      <c r="AD62" s="9" t="n">
        <v>17213</v>
      </c>
      <c r="AE62" s="9" t="n">
        <v>31875</v>
      </c>
      <c r="AF62" s="9" t="n">
        <v>1121469</v>
      </c>
    </row>
    <row r="63">
      <c r="A63" s="4" t="inlineStr">
        <is>
          <t>10957493-7</t>
        </is>
      </c>
      <c r="B63" s="4" t="n">
        <v>2</v>
      </c>
      <c r="C63" s="5" t="inlineStr">
        <is>
          <t>GONZALEZ QUINZACARA LUIS ARNOLDO</t>
        </is>
      </c>
      <c r="D63" s="5" t="inlineStr">
        <is>
          <t>CAPATAZ GEOSINTETICOS</t>
        </is>
      </c>
      <c r="E63" s="5" t="inlineStr">
        <is>
          <t>TECHINT - RT</t>
        </is>
      </c>
      <c r="F63" s="5" t="inlineStr">
        <is>
          <t>Directo</t>
        </is>
      </c>
      <c r="G63" s="4" t="n">
        <v>30</v>
      </c>
      <c r="H63" s="4" t="n">
        <v>0</v>
      </c>
      <c r="I63" s="6" t="n">
        <v>1550000</v>
      </c>
      <c r="J63" s="6" t="n">
        <v>0</v>
      </c>
      <c r="K63" s="6" t="n">
        <v>225000</v>
      </c>
      <c r="L63" s="6" t="n">
        <v>0</v>
      </c>
      <c r="M63" s="6" t="n">
        <v>0</v>
      </c>
      <c r="N63" s="6" t="n">
        <v>213354</v>
      </c>
      <c r="O63" s="6" t="n">
        <v>1988354</v>
      </c>
      <c r="P63" s="6" t="n">
        <v>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1988354</v>
      </c>
      <c r="W63" s="6" t="n">
        <v>227468</v>
      </c>
      <c r="X63" s="6" t="n">
        <v>183479</v>
      </c>
      <c r="Y63" s="6" t="n">
        <v>0</v>
      </c>
      <c r="Z63" s="6" t="n">
        <v>24979</v>
      </c>
      <c r="AA63" s="6" t="n">
        <v>435926</v>
      </c>
      <c r="AB63" s="6" t="n">
        <v>1552428</v>
      </c>
      <c r="AC63" s="6" t="n">
        <v>18492</v>
      </c>
      <c r="AD63" s="6" t="n">
        <v>32211</v>
      </c>
      <c r="AE63" s="6" t="n">
        <v>59651</v>
      </c>
      <c r="AF63" s="6" t="n">
        <v>2098708</v>
      </c>
    </row>
    <row r="64">
      <c r="A64" s="7" t="inlineStr">
        <is>
          <t>15684747-K</t>
        </is>
      </c>
      <c r="B64" s="7" t="n">
        <v>1</v>
      </c>
      <c r="C64" s="8" t="inlineStr">
        <is>
          <t>GONZALEZ TAPIA SARA NOEMI</t>
        </is>
      </c>
      <c r="D64" s="8" t="inlineStr">
        <is>
          <t>JEFE CALIDAD</t>
        </is>
      </c>
      <c r="E64" s="8" t="inlineStr">
        <is>
          <t>TECHINT - RT</t>
        </is>
      </c>
      <c r="F64" s="8" t="inlineStr">
        <is>
          <t>Indirecto</t>
        </is>
      </c>
      <c r="G64" s="7" t="n">
        <v>30</v>
      </c>
      <c r="H64" s="7" t="n">
        <v>0</v>
      </c>
      <c r="I64" s="9" t="n">
        <v>1713000</v>
      </c>
      <c r="J64" s="9" t="n">
        <v>0</v>
      </c>
      <c r="K64" s="9" t="n">
        <v>1634000</v>
      </c>
      <c r="L64" s="9" t="n">
        <v>0</v>
      </c>
      <c r="M64" s="9" t="n">
        <v>0</v>
      </c>
      <c r="N64" s="9" t="n">
        <v>213354</v>
      </c>
      <c r="O64" s="9" t="n">
        <v>3560354</v>
      </c>
      <c r="P64" s="9" t="n">
        <v>0</v>
      </c>
      <c r="Q64" s="9" t="n">
        <v>0</v>
      </c>
      <c r="R64" s="9" t="n">
        <v>77281</v>
      </c>
      <c r="S64" s="9" t="n">
        <v>0</v>
      </c>
      <c r="T64" s="9" t="n">
        <v>0</v>
      </c>
      <c r="U64" s="9" t="n">
        <v>0</v>
      </c>
      <c r="V64" s="9" t="n">
        <v>3665195</v>
      </c>
      <c r="W64" s="9" t="n">
        <v>407304</v>
      </c>
      <c r="X64" s="9" t="n">
        <v>249225</v>
      </c>
      <c r="Y64" s="9" t="n">
        <v>21362</v>
      </c>
      <c r="Z64" s="9" t="n">
        <v>107774</v>
      </c>
      <c r="AA64" s="9" t="n">
        <v>785665</v>
      </c>
      <c r="AB64" s="9" t="n">
        <v>2879530</v>
      </c>
      <c r="AC64" s="9" t="n">
        <v>33111</v>
      </c>
      <c r="AD64" s="9" t="n">
        <v>57678</v>
      </c>
      <c r="AE64" s="9" t="n">
        <v>85448</v>
      </c>
      <c r="AF64" s="9" t="n">
        <v>3736591</v>
      </c>
    </row>
    <row r="65">
      <c r="A65" s="4" t="inlineStr">
        <is>
          <t>19049850-6</t>
        </is>
      </c>
      <c r="B65" s="4" t="n">
        <v>3</v>
      </c>
      <c r="C65" s="5" t="inlineStr">
        <is>
          <t>GONZALEZ VEGA ISRAEL ARON</t>
        </is>
      </c>
      <c r="D65" s="5" t="inlineStr">
        <is>
          <t>SUPERVISOR CONTROL CALIDAD</t>
        </is>
      </c>
      <c r="E65" s="5" t="inlineStr">
        <is>
          <t>ACCIONA IMPERMEABILIZACION DE TALUDES MURO SUR</t>
        </is>
      </c>
      <c r="F65" s="5" t="inlineStr">
        <is>
          <t>Indirecto</t>
        </is>
      </c>
      <c r="G65" s="4" t="n">
        <v>10</v>
      </c>
      <c r="H65" s="4" t="n">
        <v>0</v>
      </c>
      <c r="I65" s="6" t="n">
        <v>2565000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213354</v>
      </c>
      <c r="O65" s="6" t="n">
        <v>1068354</v>
      </c>
      <c r="P65" s="6" t="n">
        <v>0</v>
      </c>
      <c r="Q65" s="6" t="n">
        <v>0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1068354</v>
      </c>
      <c r="W65" s="6" t="n">
        <v>122327</v>
      </c>
      <c r="X65" s="6" t="n">
        <v>74785</v>
      </c>
      <c r="Y65" s="6" t="n">
        <v>0</v>
      </c>
      <c r="Z65" s="6" t="n">
        <v>0</v>
      </c>
      <c r="AA65" s="6" t="n">
        <v>197112</v>
      </c>
      <c r="AB65" s="6" t="n">
        <v>871242</v>
      </c>
      <c r="AC65" s="6" t="n">
        <v>9936</v>
      </c>
      <c r="AD65" s="6" t="n">
        <v>17307</v>
      </c>
      <c r="AE65" s="6" t="n">
        <v>32051</v>
      </c>
      <c r="AF65" s="6" t="n">
        <v>1127648</v>
      </c>
    </row>
    <row r="66">
      <c r="A66" s="7" t="inlineStr">
        <is>
          <t>16110209-1</t>
        </is>
      </c>
      <c r="B66" s="7" t="n">
        <v>1</v>
      </c>
      <c r="C66" s="8" t="inlineStr">
        <is>
          <t>GUAJARDO SALAS CRISTIAN LENIER</t>
        </is>
      </c>
      <c r="D66" s="8" t="inlineStr">
        <is>
          <t>OPERADOR CAMION PLUMA</t>
        </is>
      </c>
      <c r="E66" s="8" t="inlineStr">
        <is>
          <t>SERVICIO DE IMPERMEABILIZACION CELDAS RSD1 Y RSD CASERONES</t>
        </is>
      </c>
      <c r="F66" s="8" t="inlineStr">
        <is>
          <t>Directo</t>
        </is>
      </c>
      <c r="G66" s="7" t="n">
        <v>19</v>
      </c>
      <c r="H66" s="7" t="n">
        <v>0</v>
      </c>
      <c r="I66" s="9" t="n">
        <v>1787000</v>
      </c>
      <c r="J66" s="9" t="n">
        <v>0</v>
      </c>
      <c r="K66" s="9" t="n">
        <v>426200</v>
      </c>
      <c r="L66" s="9" t="n">
        <v>0</v>
      </c>
      <c r="M66" s="9" t="n">
        <v>0</v>
      </c>
      <c r="N66" s="9" t="n">
        <v>213354</v>
      </c>
      <c r="O66" s="9" t="n">
        <v>1771321</v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1771321</v>
      </c>
      <c r="W66" s="9" t="n">
        <v>199628</v>
      </c>
      <c r="X66" s="9" t="n">
        <v>123992</v>
      </c>
      <c r="Y66" s="9" t="n">
        <v>0</v>
      </c>
      <c r="Z66" s="9" t="n">
        <v>19791</v>
      </c>
      <c r="AA66" s="9" t="n">
        <v>343411</v>
      </c>
      <c r="AB66" s="9" t="n">
        <v>1427910</v>
      </c>
      <c r="AC66" s="9" t="n">
        <v>16473</v>
      </c>
      <c r="AD66" s="9" t="n">
        <v>28695</v>
      </c>
      <c r="AE66" s="9" t="n">
        <v>53140</v>
      </c>
      <c r="AF66" s="9" t="n">
        <v>1869629</v>
      </c>
    </row>
    <row r="67">
      <c r="A67" s="4" t="inlineStr">
        <is>
          <t>16110209-1</t>
        </is>
      </c>
      <c r="B67" s="4" t="n">
        <v>2</v>
      </c>
      <c r="C67" s="5" t="inlineStr">
        <is>
          <t>GUAJARDO SALAS CRISTIAN LENIER</t>
        </is>
      </c>
      <c r="D67" s="5" t="inlineStr">
        <is>
          <t>OPERADOR CAMION PLUMA</t>
        </is>
      </c>
      <c r="E67" s="5" t="inlineStr">
        <is>
          <t>TECHINT - RT</t>
        </is>
      </c>
      <c r="F67" s="5" t="inlineStr">
        <is>
          <t>Directo</t>
        </is>
      </c>
      <c r="G67" s="4" t="n">
        <v>14</v>
      </c>
      <c r="H67" s="4" t="n">
        <v>0</v>
      </c>
      <c r="I67" s="6" t="n">
        <v>1686000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196700</v>
      </c>
      <c r="O67" s="6" t="n">
        <v>983500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983500</v>
      </c>
      <c r="W67" s="6" t="n">
        <v>110840</v>
      </c>
      <c r="X67" s="6" t="n">
        <v>68845</v>
      </c>
      <c r="Y67" s="6" t="n">
        <v>0</v>
      </c>
      <c r="Z67" s="6" t="n">
        <v>37507</v>
      </c>
      <c r="AA67" s="6" t="n">
        <v>217192</v>
      </c>
      <c r="AB67" s="6" t="n">
        <v>766308</v>
      </c>
      <c r="AC67" s="6" t="n">
        <v>9147</v>
      </c>
      <c r="AD67" s="6" t="n">
        <v>15933</v>
      </c>
      <c r="AE67" s="6" t="n">
        <v>29505</v>
      </c>
      <c r="AF67" s="6" t="n">
        <v>1038085</v>
      </c>
    </row>
    <row r="68">
      <c r="A68" s="7" t="inlineStr">
        <is>
          <t>15018611-0</t>
        </is>
      </c>
      <c r="B68" s="7" t="n">
        <v>1</v>
      </c>
      <c r="C68" s="8" t="inlineStr">
        <is>
          <t>GUERRA YAPOR JORGE ANDRES</t>
        </is>
      </c>
      <c r="D68" s="8" t="inlineStr">
        <is>
          <t>SUBGERENTE DE CONTRATOS Y PROYECTOS</t>
        </is>
      </c>
      <c r="E68" s="8" t="inlineStr">
        <is>
          <t>TECHINT - RT</t>
        </is>
      </c>
      <c r="F68" s="8" t="inlineStr">
        <is>
          <t>Indirecto</t>
        </is>
      </c>
      <c r="G68" s="7" t="n">
        <v>30</v>
      </c>
      <c r="H68" s="7" t="n">
        <v>0</v>
      </c>
      <c r="I68" s="9" t="n">
        <v>6600000</v>
      </c>
      <c r="J68" s="9" t="n">
        <v>0</v>
      </c>
      <c r="K68" s="9" t="n">
        <v>2123822</v>
      </c>
      <c r="L68" s="9" t="n">
        <v>0</v>
      </c>
      <c r="M68" s="9" t="n">
        <v>2123822</v>
      </c>
      <c r="N68" s="9" t="n">
        <v>213354</v>
      </c>
      <c r="O68" s="9" t="n">
        <v>8937176</v>
      </c>
      <c r="P68" s="9" t="n">
        <v>0</v>
      </c>
      <c r="Q68" s="9" t="n">
        <v>10000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9127176</v>
      </c>
      <c r="W68" s="9" t="n">
        <v>418128</v>
      </c>
      <c r="X68" s="9" t="n">
        <v>255847</v>
      </c>
      <c r="Y68" s="9" t="n">
        <v>32943</v>
      </c>
      <c r="Z68" s="9" t="n">
        <v>1245532</v>
      </c>
      <c r="AA68" s="9" t="n">
        <v>1952450</v>
      </c>
      <c r="AB68" s="9" t="n">
        <v>7174726</v>
      </c>
      <c r="AC68" s="9" t="n">
        <v>33991</v>
      </c>
      <c r="AD68" s="9" t="n">
        <v>59210</v>
      </c>
      <c r="AE68" s="9" t="n">
        <v>131774</v>
      </c>
      <c r="AF68" s="9" t="n">
        <v>9162151</v>
      </c>
    </row>
    <row r="69">
      <c r="A69" s="4" t="inlineStr">
        <is>
          <t>13179077-5</t>
        </is>
      </c>
      <c r="B69" s="4" t="n">
        <v>3</v>
      </c>
      <c r="C69" s="5" t="inlineStr">
        <is>
          <t>GUERRERO GARCIA PEDRO FREDDY</t>
        </is>
      </c>
      <c r="D69" s="5" t="inlineStr">
        <is>
          <t>JEFE PREVENCION DE RIESGOS</t>
        </is>
      </c>
      <c r="E69" s="5" t="inlineStr">
        <is>
          <t>ACCIONA IMPERMEABILIZACION DE TALUDES MURO SUR</t>
        </is>
      </c>
      <c r="F69" s="5" t="inlineStr">
        <is>
          <t>Indirecto</t>
        </is>
      </c>
      <c r="G69" s="4" t="n">
        <v>12</v>
      </c>
      <c r="H69" s="4" t="n">
        <v>0</v>
      </c>
      <c r="I69" s="6" t="n">
        <v>3336000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213354</v>
      </c>
      <c r="O69" s="6" t="n">
        <v>1547754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1643824</v>
      </c>
      <c r="W69" s="6" t="n">
        <v>177063</v>
      </c>
      <c r="X69" s="6" t="n">
        <v>108343</v>
      </c>
      <c r="Y69" s="6" t="n">
        <v>0</v>
      </c>
      <c r="Z69" s="6" t="n">
        <v>12376</v>
      </c>
      <c r="AA69" s="6" t="n">
        <v>297782</v>
      </c>
      <c r="AB69" s="6" t="n">
        <v>1346042</v>
      </c>
      <c r="AC69" s="6" t="n">
        <v>14394</v>
      </c>
      <c r="AD69" s="6" t="n">
        <v>25074</v>
      </c>
      <c r="AE69" s="6" t="n">
        <v>46433</v>
      </c>
      <c r="AF69" s="6" t="n">
        <v>1633655</v>
      </c>
    </row>
    <row r="70">
      <c r="A70" s="7" t="inlineStr">
        <is>
          <t>10192082-8</t>
        </is>
      </c>
      <c r="B70" s="7" t="n">
        <v>1</v>
      </c>
      <c r="C70" s="8" t="inlineStr">
        <is>
          <t>GUERRERO GOMEZ LUIS HUMBERTO</t>
        </is>
      </c>
      <c r="D70" s="8" t="inlineStr">
        <is>
          <t>AYUDANTE GEOSINTETICOS</t>
        </is>
      </c>
      <c r="E70" s="8" t="inlineStr">
        <is>
          <t>SERVICIO DE IMPERMEABILIZACION CELDAS RSD1 Y RSD CASERONES</t>
        </is>
      </c>
      <c r="F70" s="8" t="inlineStr">
        <is>
          <t>Directo</t>
        </is>
      </c>
      <c r="G70" s="7" t="n">
        <v>11</v>
      </c>
      <c r="H70" s="7" t="n">
        <v>0</v>
      </c>
      <c r="I70" s="9" t="n">
        <v>834000</v>
      </c>
      <c r="J70" s="9" t="n">
        <v>0</v>
      </c>
      <c r="K70" s="9" t="n">
        <v>140000</v>
      </c>
      <c r="L70" s="9" t="n">
        <v>0</v>
      </c>
      <c r="M70" s="9" t="n">
        <v>0</v>
      </c>
      <c r="N70" s="9" t="n">
        <v>111450</v>
      </c>
      <c r="O70" s="9" t="n">
        <v>557250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562250</v>
      </c>
      <c r="W70" s="9" t="n">
        <v>63805</v>
      </c>
      <c r="X70" s="9" t="n">
        <v>39008</v>
      </c>
      <c r="Y70" s="9" t="n">
        <v>0</v>
      </c>
      <c r="Z70" s="9" t="n">
        <v>0</v>
      </c>
      <c r="AA70" s="9" t="n">
        <v>102813</v>
      </c>
      <c r="AB70" s="9" t="n">
        <v>459437</v>
      </c>
      <c r="AC70" s="9" t="n">
        <v>5182</v>
      </c>
      <c r="AD70" s="9" t="n">
        <v>9027</v>
      </c>
      <c r="AE70" s="9" t="n">
        <v>16718</v>
      </c>
      <c r="AF70" s="9" t="n">
        <v>588177</v>
      </c>
    </row>
    <row r="71">
      <c r="A71" s="4" t="inlineStr">
        <is>
          <t>18008213-1</t>
        </is>
      </c>
      <c r="B71" s="4" t="n">
        <v>1</v>
      </c>
      <c r="C71" s="5" t="inlineStr">
        <is>
          <t>GUTIERREZ ESCUDERO ALEJANDRO HERNÁN</t>
        </is>
      </c>
      <c r="D71" s="5" t="inlineStr">
        <is>
          <t>JEFE DE TERRENO</t>
        </is>
      </c>
      <c r="E71" s="5" t="inlineStr">
        <is>
          <t>ACCIONA IMPERMEABILIZACION DE TALUDES MURO SUR</t>
        </is>
      </c>
      <c r="F71" s="5" t="inlineStr">
        <is>
          <t>Indirecto</t>
        </is>
      </c>
      <c r="G71" s="4" t="n">
        <v>30</v>
      </c>
      <c r="H71" s="4" t="n">
        <v>0</v>
      </c>
      <c r="I71" s="6" t="n">
        <v>2240000</v>
      </c>
      <c r="J71" s="6" t="n">
        <v>0</v>
      </c>
      <c r="K71" s="6" t="n">
        <v>1350000</v>
      </c>
      <c r="L71" s="6" t="n">
        <v>0</v>
      </c>
      <c r="M71" s="6" t="n">
        <v>0</v>
      </c>
      <c r="N71" s="6" t="n">
        <v>213354</v>
      </c>
      <c r="O71" s="6" t="n">
        <v>3803354</v>
      </c>
      <c r="P71" s="6" t="n">
        <v>0</v>
      </c>
      <c r="Q71" s="6" t="n">
        <v>10000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3813354</v>
      </c>
      <c r="W71" s="6" t="n">
        <v>407894</v>
      </c>
      <c r="X71" s="6" t="n">
        <v>255847</v>
      </c>
      <c r="Y71" s="6" t="n">
        <v>22820</v>
      </c>
      <c r="Z71" s="6" t="n">
        <v>126520</v>
      </c>
      <c r="AA71" s="6" t="n">
        <v>813081</v>
      </c>
      <c r="AB71" s="6" t="n">
        <v>3000273</v>
      </c>
      <c r="AC71" s="6" t="n">
        <v>33991</v>
      </c>
      <c r="AD71" s="6" t="n">
        <v>59210</v>
      </c>
      <c r="AE71" s="6" t="n">
        <v>91280</v>
      </c>
      <c r="AF71" s="6" t="n">
        <v>3987835</v>
      </c>
    </row>
    <row r="72">
      <c r="A72" s="7" t="inlineStr">
        <is>
          <t>11876153-7</t>
        </is>
      </c>
      <c r="B72" s="7" t="n">
        <v>1</v>
      </c>
      <c r="C72" s="8" t="inlineStr">
        <is>
          <t>HERNANDEZ DE LA FUENTE FERNANDO HIPOLITO</t>
        </is>
      </c>
      <c r="D72" s="8" t="inlineStr">
        <is>
          <t>SUPERVISOR VISITADOR E INSTRUCTOR</t>
        </is>
      </c>
      <c r="E72" s="8" t="inlineStr">
        <is>
          <t>ACCIONA IMPERMEABILIZACION DE TALUDES MURO SUR</t>
        </is>
      </c>
      <c r="F72" s="8" t="inlineStr">
        <is>
          <t>Indirecto</t>
        </is>
      </c>
      <c r="G72" s="7" t="n">
        <v>30</v>
      </c>
      <c r="H72" s="7" t="n">
        <v>0</v>
      </c>
      <c r="I72" s="9" t="n">
        <v>2556070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213354</v>
      </c>
      <c r="O72" s="9" t="n">
        <v>2769424</v>
      </c>
      <c r="P72" s="9" t="n">
        <v>110000</v>
      </c>
      <c r="Q72" s="9" t="n">
        <v>10000</v>
      </c>
      <c r="R72" s="9" t="n">
        <v>77281</v>
      </c>
      <c r="S72" s="9" t="n">
        <v>0</v>
      </c>
      <c r="T72" s="9" t="n">
        <v>0</v>
      </c>
      <c r="U72" s="9" t="n">
        <v>0</v>
      </c>
      <c r="V72" s="9" t="n">
        <v>2966705</v>
      </c>
      <c r="W72" s="9" t="n">
        <v>316822</v>
      </c>
      <c r="X72" s="9" t="n">
        <v>386736</v>
      </c>
      <c r="Y72" s="9" t="n">
        <v>16617</v>
      </c>
      <c r="Z72" s="9" t="n">
        <v>51588</v>
      </c>
      <c r="AA72" s="9" t="n">
        <v>771763</v>
      </c>
      <c r="AB72" s="9" t="n">
        <v>2194942</v>
      </c>
      <c r="AC72" s="9" t="n">
        <v>25756</v>
      </c>
      <c r="AD72" s="9" t="n">
        <v>44865</v>
      </c>
      <c r="AE72" s="9" t="n">
        <v>66466</v>
      </c>
      <c r="AF72" s="9" t="n">
        <v>2906511</v>
      </c>
    </row>
    <row r="73">
      <c r="A73" s="4" t="inlineStr">
        <is>
          <t>17164817-3</t>
        </is>
      </c>
      <c r="B73" s="4" t="n">
        <v>1</v>
      </c>
      <c r="C73" s="5" t="inlineStr">
        <is>
          <t>HERRERA CARVALLO FANNY DENIS</t>
        </is>
      </c>
      <c r="D73" s="5" t="inlineStr">
        <is>
          <t>JEFE SSOMAC</t>
        </is>
      </c>
      <c r="E73" s="5" t="inlineStr">
        <is>
          <t>Operacion</t>
        </is>
      </c>
      <c r="F73" s="5" t="inlineStr">
        <is>
          <t>Oficina</t>
        </is>
      </c>
      <c r="G73" s="4" t="n">
        <v>30</v>
      </c>
      <c r="H73" s="4" t="n">
        <v>0</v>
      </c>
      <c r="I73" s="6" t="n">
        <v>3102045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213354</v>
      </c>
      <c r="O73" s="6" t="n">
        <v>3315399</v>
      </c>
      <c r="P73" s="6" t="n">
        <v>0</v>
      </c>
      <c r="Q73" s="6" t="n">
        <v>10000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3363399</v>
      </c>
      <c r="W73" s="6" t="n">
        <v>379282</v>
      </c>
      <c r="X73" s="6" t="n">
        <v>252517</v>
      </c>
      <c r="Y73" s="6" t="n">
        <v>19892</v>
      </c>
      <c r="Z73" s="6" t="n">
        <v>90274</v>
      </c>
      <c r="AA73" s="6" t="n">
        <v>741965</v>
      </c>
      <c r="AB73" s="6" t="n">
        <v>2621434</v>
      </c>
      <c r="AC73" s="6" t="n">
        <v>30833</v>
      </c>
      <c r="AD73" s="6" t="n">
        <v>53709</v>
      </c>
      <c r="AE73" s="6" t="n">
        <v>79570</v>
      </c>
      <c r="AF73" s="6" t="n">
        <v>3479511</v>
      </c>
    </row>
    <row r="74">
      <c r="A74" s="7" t="inlineStr">
        <is>
          <t>12612919-K</t>
        </is>
      </c>
      <c r="B74" s="7" t="n">
        <v>2</v>
      </c>
      <c r="C74" s="8" t="inlineStr">
        <is>
          <t>HERRERA CORTES JUVENAL HUMBERTO</t>
        </is>
      </c>
      <c r="D74" s="8" t="inlineStr">
        <is>
          <t>AYUDANTE GEOSINTETICOS</t>
        </is>
      </c>
      <c r="E74" s="8" t="inlineStr">
        <is>
          <t>TECHINT - RT</t>
        </is>
      </c>
      <c r="F74" s="8" t="inlineStr">
        <is>
          <t>Directo</t>
        </is>
      </c>
      <c r="G74" s="7" t="n">
        <v>30</v>
      </c>
      <c r="H74" s="7" t="n">
        <v>0</v>
      </c>
      <c r="I74" s="9" t="n">
        <v>746000</v>
      </c>
      <c r="J74" s="9" t="n">
        <v>0</v>
      </c>
      <c r="K74" s="9" t="n">
        <v>374200</v>
      </c>
      <c r="L74" s="9" t="n">
        <v>0</v>
      </c>
      <c r="M74" s="9" t="n">
        <v>0</v>
      </c>
      <c r="N74" s="9" t="n">
        <v>213354</v>
      </c>
      <c r="O74" s="9" t="n">
        <v>1333554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1333554</v>
      </c>
      <c r="W74" s="9" t="n">
        <v>150292</v>
      </c>
      <c r="X74" s="9" t="n">
        <v>93349</v>
      </c>
      <c r="Y74" s="9" t="n">
        <v>0</v>
      </c>
      <c r="Z74" s="9" t="n">
        <v>5479</v>
      </c>
      <c r="AA74" s="9" t="n">
        <v>249120</v>
      </c>
      <c r="AB74" s="9" t="n">
        <v>1084434</v>
      </c>
      <c r="AC74" s="9" t="n">
        <v>12402</v>
      </c>
      <c r="AD74" s="9" t="n">
        <v>21604</v>
      </c>
      <c r="AE74" s="9" t="n">
        <v>40007</v>
      </c>
      <c r="AF74" s="9" t="n">
        <v>1407567</v>
      </c>
    </row>
    <row r="75">
      <c r="A75" s="4" t="inlineStr">
        <is>
          <t>9187205-6</t>
        </is>
      </c>
      <c r="B75" s="4" t="n">
        <v>1</v>
      </c>
      <c r="C75" s="5" t="inlineStr">
        <is>
          <t>HERRERA VERA OSCAR CRISTIAN</t>
        </is>
      </c>
      <c r="D75" s="5" t="inlineStr">
        <is>
          <t>GERENTE PROYECTOS</t>
        </is>
      </c>
      <c r="E75" s="5" t="inlineStr">
        <is>
          <t>TECHINT - RT</t>
        </is>
      </c>
      <c r="F75" s="5" t="inlineStr">
        <is>
          <t>Indirecto</t>
        </is>
      </c>
      <c r="G75" s="4" t="n">
        <v>30</v>
      </c>
      <c r="H75" s="4" t="n">
        <v>0</v>
      </c>
      <c r="I75" s="6" t="n">
        <v>8880000</v>
      </c>
      <c r="J75" s="6" t="n">
        <v>0</v>
      </c>
      <c r="K75" s="6" t="n">
        <v>328000</v>
      </c>
      <c r="L75" s="6" t="n">
        <v>0</v>
      </c>
      <c r="M75" s="6" t="n">
        <v>0</v>
      </c>
      <c r="N75" s="6" t="n">
        <v>213354</v>
      </c>
      <c r="O75" s="6" t="n">
        <v>9421354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9421354</v>
      </c>
      <c r="W75" s="6" t="n">
        <v>418128</v>
      </c>
      <c r="X75" s="6" t="n">
        <v>574641</v>
      </c>
      <c r="Y75" s="6" t="n">
        <v>32943</v>
      </c>
      <c r="Z75" s="6" t="n">
        <v>1403940</v>
      </c>
      <c r="AA75" s="6" t="n">
        <v>2429652</v>
      </c>
      <c r="AB75" s="6" t="n">
        <v>6991702</v>
      </c>
      <c r="AC75" s="6" t="n">
        <v>33991</v>
      </c>
      <c r="AD75" s="6" t="n">
        <v>59210</v>
      </c>
      <c r="AE75" s="6" t="n">
        <v>131774</v>
      </c>
      <c r="AF75" s="6" t="n">
        <v>9646329</v>
      </c>
    </row>
    <row r="76">
      <c r="A76" s="7" t="inlineStr">
        <is>
          <t>21022831-4</t>
        </is>
      </c>
      <c r="B76" s="7" t="n">
        <v>2</v>
      </c>
      <c r="C76" s="8" t="inlineStr">
        <is>
          <t>HIDALGO OLIVARES CLEMENTE RAFAEL</t>
        </is>
      </c>
      <c r="D76" s="8" t="inlineStr">
        <is>
          <t>MAESTRO SEGUNDA GEOSINTETICOS</t>
        </is>
      </c>
      <c r="E76" s="8" t="inlineStr">
        <is>
          <t>TECHINT - RT</t>
        </is>
      </c>
      <c r="F76" s="8" t="inlineStr">
        <is>
          <t>Directo</t>
        </is>
      </c>
      <c r="G76" s="7" t="n">
        <v>12</v>
      </c>
      <c r="H76" s="7" t="n">
        <v>0</v>
      </c>
      <c r="I76" s="9" t="n">
        <v>850000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85000</v>
      </c>
      <c r="O76" s="9" t="n">
        <v>425000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425000</v>
      </c>
      <c r="W76" s="9" t="n">
        <v>44455</v>
      </c>
      <c r="X76" s="9" t="n">
        <v>29750</v>
      </c>
      <c r="Y76" s="9" t="n">
        <v>0</v>
      </c>
      <c r="Z76" s="9" t="n">
        <v>0</v>
      </c>
      <c r="AA76" s="9" t="n">
        <v>74205</v>
      </c>
      <c r="AB76" s="9" t="n">
        <v>350795</v>
      </c>
      <c r="AC76" s="9" t="n">
        <v>3953</v>
      </c>
      <c r="AD76" s="9" t="n">
        <v>6885</v>
      </c>
      <c r="AE76" s="9" t="n">
        <v>12750</v>
      </c>
      <c r="AF76" s="9" t="n">
        <v>448588</v>
      </c>
    </row>
    <row r="77">
      <c r="A77" s="4" t="inlineStr">
        <is>
          <t>20051179-4</t>
        </is>
      </c>
      <c r="B77" s="4" t="n">
        <v>3</v>
      </c>
      <c r="C77" s="5" t="inlineStr">
        <is>
          <t>HIDALGO SEGOVIA PATRICIO ANDRES</t>
        </is>
      </c>
      <c r="D77" s="5" t="inlineStr">
        <is>
          <t>TECNICO CONTROL CALIDAD</t>
        </is>
      </c>
      <c r="E77" s="5" t="inlineStr">
        <is>
          <t>TECHINT - RT</t>
        </is>
      </c>
      <c r="F77" s="5" t="inlineStr">
        <is>
          <t>Directo</t>
        </is>
      </c>
      <c r="G77" s="4" t="n">
        <v>30</v>
      </c>
      <c r="H77" s="4" t="n">
        <v>0</v>
      </c>
      <c r="I77" s="6" t="n">
        <v>1315000</v>
      </c>
      <c r="J77" s="6" t="n">
        <v>0</v>
      </c>
      <c r="K77" s="6" t="n">
        <v>131499</v>
      </c>
      <c r="L77" s="6" t="n">
        <v>0</v>
      </c>
      <c r="M77" s="6" t="n">
        <v>0</v>
      </c>
      <c r="N77" s="6" t="n">
        <v>213354</v>
      </c>
      <c r="O77" s="6" t="n">
        <v>1659853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1659853</v>
      </c>
      <c r="W77" s="6" t="n">
        <v>173621</v>
      </c>
      <c r="X77" s="6" t="n">
        <v>116190</v>
      </c>
      <c r="Y77" s="6" t="n">
        <v>0</v>
      </c>
      <c r="Z77" s="6" t="n">
        <v>16684</v>
      </c>
      <c r="AA77" s="6" t="n">
        <v>306495</v>
      </c>
      <c r="AB77" s="6" t="n">
        <v>1353358</v>
      </c>
      <c r="AC77" s="6" t="n">
        <v>15437</v>
      </c>
      <c r="AD77" s="6" t="n">
        <v>26890</v>
      </c>
      <c r="AE77" s="6" t="n">
        <v>49796</v>
      </c>
      <c r="AF77" s="6" t="n">
        <v>1751976</v>
      </c>
    </row>
    <row r="78">
      <c r="A78" s="7" t="inlineStr">
        <is>
          <t>16847967-0</t>
        </is>
      </c>
      <c r="B78" s="7" t="n">
        <v>2</v>
      </c>
      <c r="C78" s="8" t="inlineStr">
        <is>
          <t>IBACACHE VALDIVIA MATIAS JOAQUIN</t>
        </is>
      </c>
      <c r="D78" s="8" t="inlineStr">
        <is>
          <t>AYUDANTE GEOSINTETICOS</t>
        </is>
      </c>
      <c r="E78" s="8" t="inlineStr">
        <is>
          <t>TECHINT - RT</t>
        </is>
      </c>
      <c r="F78" s="8" t="inlineStr">
        <is>
          <t>Directo</t>
        </is>
      </c>
      <c r="G78" s="7" t="n">
        <v>17</v>
      </c>
      <c r="H78" s="7" t="n">
        <v>0</v>
      </c>
      <c r="I78" s="9" t="n">
        <v>746000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105683</v>
      </c>
      <c r="O78" s="9" t="n">
        <v>528416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528416</v>
      </c>
      <c r="W78" s="9" t="n">
        <v>58971</v>
      </c>
      <c r="X78" s="9" t="n">
        <v>36989</v>
      </c>
      <c r="Y78" s="9" t="n">
        <v>0</v>
      </c>
      <c r="Z78" s="9" t="n">
        <v>0</v>
      </c>
      <c r="AA78" s="9" t="n">
        <v>95960</v>
      </c>
      <c r="AB78" s="9" t="n">
        <v>432456</v>
      </c>
      <c r="AC78" s="9" t="n">
        <v>4914</v>
      </c>
      <c r="AD78" s="9" t="n">
        <v>8560</v>
      </c>
      <c r="AE78" s="9" t="n">
        <v>15852</v>
      </c>
      <c r="AF78" s="9" t="n">
        <v>557742</v>
      </c>
    </row>
    <row r="79">
      <c r="A79" s="4" t="inlineStr">
        <is>
          <t>10420797-9</t>
        </is>
      </c>
      <c r="B79" s="4" t="n">
        <v>2</v>
      </c>
      <c r="C79" s="5" t="inlineStr">
        <is>
          <t>IRRIBARRA PEÑA HECTOR LEONIDAS</t>
        </is>
      </c>
      <c r="D79" s="5" t="inlineStr">
        <is>
          <t>JEFE RECURSOS HUMANOS PROYECTO</t>
        </is>
      </c>
      <c r="E79" s="5" t="inlineStr">
        <is>
          <t>TECHINT - RT</t>
        </is>
      </c>
      <c r="F79" s="5" t="inlineStr">
        <is>
          <t>Indirecto</t>
        </is>
      </c>
      <c r="G79" s="4" t="n">
        <v>30</v>
      </c>
      <c r="H79" s="4" t="n">
        <v>0</v>
      </c>
      <c r="I79" s="6" t="n">
        <v>2308000</v>
      </c>
      <c r="J79" s="6" t="n">
        <v>0</v>
      </c>
      <c r="K79" s="6" t="n">
        <v>230799</v>
      </c>
      <c r="L79" s="6" t="n">
        <v>0</v>
      </c>
      <c r="M79" s="6" t="n">
        <v>0</v>
      </c>
      <c r="N79" s="6" t="n">
        <v>213354</v>
      </c>
      <c r="O79" s="6" t="n">
        <v>2752153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2844195</v>
      </c>
      <c r="W79" s="6" t="n">
        <v>314846</v>
      </c>
      <c r="X79" s="6" t="n">
        <v>192651</v>
      </c>
      <c r="Y79" s="6" t="n">
        <v>0</v>
      </c>
      <c r="Z79" s="6" t="n">
        <v>56749</v>
      </c>
      <c r="AA79" s="6" t="n">
        <v>564246</v>
      </c>
      <c r="AB79" s="6" t="n">
        <v>2279949</v>
      </c>
      <c r="AC79" s="6" t="n">
        <v>25595</v>
      </c>
      <c r="AD79" s="6" t="n">
        <v>44585</v>
      </c>
      <c r="AE79" s="6" t="n">
        <v>82565</v>
      </c>
      <c r="AF79" s="6" t="n">
        <v>2904898</v>
      </c>
    </row>
    <row r="80">
      <c r="A80" s="7" t="inlineStr">
        <is>
          <t>20091945-9</t>
        </is>
      </c>
      <c r="B80" s="7" t="n">
        <v>1</v>
      </c>
      <c r="C80" s="8" t="inlineStr">
        <is>
          <t>JIMENEZ BUGUEÑO DENIS MARCELA</t>
        </is>
      </c>
      <c r="D80" s="8" t="inlineStr">
        <is>
          <t>TECNICO RECURSOS HUMANOS</t>
        </is>
      </c>
      <c r="E80" s="8" t="inlineStr">
        <is>
          <t>SERVICIO DE IMPERMEABILIZACION CELDAS RSD1 Y RSD CASERONES</t>
        </is>
      </c>
      <c r="F80" s="8" t="inlineStr">
        <is>
          <t>Indirecto</t>
        </is>
      </c>
      <c r="G80" s="7" t="n">
        <v>0</v>
      </c>
      <c r="H80" s="7" t="n">
        <v>10</v>
      </c>
      <c r="I80" s="9" t="n">
        <v>1550000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</v>
      </c>
      <c r="AA80" s="9" t="n">
        <v>0</v>
      </c>
      <c r="AB80" s="9" t="n">
        <v>0</v>
      </c>
      <c r="AC80" s="9" t="n">
        <v>0</v>
      </c>
      <c r="AD80" s="9" t="n">
        <v>0</v>
      </c>
      <c r="AE80" s="9" t="n">
        <v>0</v>
      </c>
      <c r="AF80" s="9" t="n">
        <v>0</v>
      </c>
    </row>
    <row r="81">
      <c r="A81" s="4" t="inlineStr">
        <is>
          <t>19355560-8</t>
        </is>
      </c>
      <c r="B81" s="4" t="n">
        <v>2</v>
      </c>
      <c r="C81" s="5" t="inlineStr">
        <is>
          <t>JIMENEZ DIAZ EDUARDO SERGIO</t>
        </is>
      </c>
      <c r="D81" s="5" t="inlineStr">
        <is>
          <t>AYUDANTE GEOSINTETICOS</t>
        </is>
      </c>
      <c r="E81" s="5" t="inlineStr">
        <is>
          <t>TECHINT - RT</t>
        </is>
      </c>
      <c r="F81" s="5" t="inlineStr">
        <is>
          <t>Directo</t>
        </is>
      </c>
      <c r="G81" s="4" t="n">
        <v>18</v>
      </c>
      <c r="H81" s="4" t="n">
        <v>0</v>
      </c>
      <c r="I81" s="6" t="n">
        <v>746000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111900</v>
      </c>
      <c r="O81" s="6" t="n">
        <v>559500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559500</v>
      </c>
      <c r="W81" s="6" t="n">
        <v>62440</v>
      </c>
      <c r="X81" s="6" t="n">
        <v>39165</v>
      </c>
      <c r="Y81" s="6" t="n">
        <v>0</v>
      </c>
      <c r="Z81" s="6" t="n">
        <v>0</v>
      </c>
      <c r="AA81" s="6" t="n">
        <v>101605</v>
      </c>
      <c r="AB81" s="6" t="n">
        <v>457895</v>
      </c>
      <c r="AC81" s="6" t="n">
        <v>5203</v>
      </c>
      <c r="AD81" s="6" t="n">
        <v>9064</v>
      </c>
      <c r="AE81" s="6" t="n">
        <v>16785</v>
      </c>
      <c r="AF81" s="6" t="n">
        <v>590552</v>
      </c>
    </row>
    <row r="82">
      <c r="A82" s="7" t="inlineStr">
        <is>
          <t>18353271-5</t>
        </is>
      </c>
      <c r="B82" s="7" t="n">
        <v>1</v>
      </c>
      <c r="C82" s="8" t="inlineStr">
        <is>
          <t>JOFRE JOFRE DIEGO EDUARDO</t>
        </is>
      </c>
      <c r="D82" s="8" t="inlineStr">
        <is>
          <t>TECNICO CONTROL CALIDAD</t>
        </is>
      </c>
      <c r="E82" s="8" t="inlineStr">
        <is>
          <t>ACCIONA IMPERMEABILIZACION DE TALUDES MURO SUR</t>
        </is>
      </c>
      <c r="F82" s="8" t="inlineStr">
        <is>
          <t>Directo</t>
        </is>
      </c>
      <c r="G82" s="7" t="n">
        <v>1</v>
      </c>
      <c r="H82" s="7" t="n">
        <v>0</v>
      </c>
      <c r="I82" s="9" t="n">
        <v>0</v>
      </c>
      <c r="J82" s="9" t="n">
        <v>0</v>
      </c>
      <c r="K82" s="9" t="n">
        <v>423600</v>
      </c>
      <c r="L82" s="9" t="n">
        <v>0</v>
      </c>
      <c r="M82" s="9" t="n">
        <v>0</v>
      </c>
      <c r="N82" s="9" t="n">
        <v>0</v>
      </c>
      <c r="O82" s="9" t="n">
        <v>423600</v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423600</v>
      </c>
      <c r="W82" s="9" t="n">
        <v>48502</v>
      </c>
      <c r="X82" s="9" t="n">
        <v>29652</v>
      </c>
      <c r="Y82" s="9" t="n">
        <v>0</v>
      </c>
      <c r="Z82" s="9" t="n">
        <v>0</v>
      </c>
      <c r="AA82" s="9" t="n">
        <v>78154</v>
      </c>
      <c r="AB82" s="9" t="n">
        <v>345446</v>
      </c>
      <c r="AC82" s="9" t="n">
        <v>3939</v>
      </c>
      <c r="AD82" s="9" t="n">
        <v>6862</v>
      </c>
      <c r="AE82" s="9" t="n">
        <v>12708</v>
      </c>
      <c r="AF82" s="9" t="n">
        <v>447109</v>
      </c>
    </row>
    <row r="83">
      <c r="A83" s="4" t="inlineStr">
        <is>
          <t>9205219-2</t>
        </is>
      </c>
      <c r="B83" s="4" t="n">
        <v>1</v>
      </c>
      <c r="C83" s="5" t="inlineStr">
        <is>
          <t>JOGLAR ZAMBRANA ADOLFO ORLANDO</t>
        </is>
      </c>
      <c r="D83" s="5" t="inlineStr">
        <is>
          <t>GERENTE GESTION PERSONAS</t>
        </is>
      </c>
      <c r="E83" s="5" t="inlineStr">
        <is>
          <t>Dpto. Recursos Humanos</t>
        </is>
      </c>
      <c r="F83" s="5" t="inlineStr">
        <is>
          <t>Oficina</t>
        </is>
      </c>
      <c r="G83" s="4" t="n">
        <v>30</v>
      </c>
      <c r="H83" s="4" t="n">
        <v>0</v>
      </c>
      <c r="I83" s="6" t="n">
        <v>7315000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213354</v>
      </c>
      <c r="O83" s="6" t="n">
        <v>7528354</v>
      </c>
      <c r="P83" s="6" t="n">
        <v>0</v>
      </c>
      <c r="Q83" s="6" t="n">
        <v>10000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7538354</v>
      </c>
      <c r="W83" s="6" t="n">
        <v>418128</v>
      </c>
      <c r="X83" s="6" t="n">
        <v>255847</v>
      </c>
      <c r="Y83" s="6" t="n">
        <v>32943</v>
      </c>
      <c r="Z83" s="6" t="n">
        <v>817250</v>
      </c>
      <c r="AA83" s="6" t="n">
        <v>1524168</v>
      </c>
      <c r="AB83" s="6" t="n">
        <v>6014186</v>
      </c>
      <c r="AC83" s="6" t="n">
        <v>33991</v>
      </c>
      <c r="AD83" s="6" t="n">
        <v>59210</v>
      </c>
      <c r="AE83" s="6" t="n">
        <v>131774</v>
      </c>
      <c r="AF83" s="6" t="n">
        <v>7753329</v>
      </c>
    </row>
    <row r="84">
      <c r="A84" s="7" t="inlineStr">
        <is>
          <t>17119888-7</t>
        </is>
      </c>
      <c r="B84" s="7" t="n">
        <v>1</v>
      </c>
      <c r="C84" s="8" t="inlineStr">
        <is>
          <t>LABRA RAMIREZ JANITZA ANABAENA</t>
        </is>
      </c>
      <c r="D84" s="8" t="inlineStr">
        <is>
          <t>ENCARGADO PMO</t>
        </is>
      </c>
      <c r="E84" s="8" t="inlineStr">
        <is>
          <t>Operacion</t>
        </is>
      </c>
      <c r="F84" s="8" t="inlineStr">
        <is>
          <t>Oficina</t>
        </is>
      </c>
      <c r="G84" s="7" t="n">
        <v>30</v>
      </c>
      <c r="H84" s="7" t="n">
        <v>0</v>
      </c>
      <c r="I84" s="9" t="n">
        <v>2862929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213354</v>
      </c>
      <c r="O84" s="9" t="n">
        <v>3076283</v>
      </c>
      <c r="P84" s="9" t="n">
        <v>0</v>
      </c>
      <c r="Q84" s="9" t="n">
        <v>10000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3086283</v>
      </c>
      <c r="W84" s="9" t="n">
        <v>346697</v>
      </c>
      <c r="X84" s="9" t="n">
        <v>287199</v>
      </c>
      <c r="Y84" s="9" t="n">
        <v>18458</v>
      </c>
      <c r="Z84" s="9" t="n">
        <v>73599</v>
      </c>
      <c r="AA84" s="9" t="n">
        <v>725953</v>
      </c>
      <c r="AB84" s="9" t="n">
        <v>2360330</v>
      </c>
      <c r="AC84" s="9" t="n">
        <v>28609</v>
      </c>
      <c r="AD84" s="9" t="n">
        <v>49836</v>
      </c>
      <c r="AE84" s="9" t="n">
        <v>73831</v>
      </c>
      <c r="AF84" s="9" t="n">
        <v>3228559</v>
      </c>
    </row>
    <row r="85">
      <c r="A85" s="4" t="inlineStr">
        <is>
          <t>19260480-K</t>
        </is>
      </c>
      <c r="B85" s="4" t="n">
        <v>1</v>
      </c>
      <c r="C85" s="5" t="inlineStr">
        <is>
          <t>LEIVA GONZALEZ CLAUDIO ANDRES</t>
        </is>
      </c>
      <c r="D85" s="5" t="inlineStr">
        <is>
          <t>ELECTROMECANICO MANTENCION</t>
        </is>
      </c>
      <c r="E85" s="5" t="inlineStr">
        <is>
          <t>ACCIONA IMPERMEABILIZACION DE TALUDES MURO SUR</t>
        </is>
      </c>
      <c r="F85" s="5" t="inlineStr">
        <is>
          <t>Indirecto</t>
        </is>
      </c>
      <c r="G85" s="4" t="n">
        <v>1</v>
      </c>
      <c r="H85" s="4" t="n">
        <v>0</v>
      </c>
      <c r="I85" s="6" t="n">
        <v>0</v>
      </c>
      <c r="J85" s="6" t="n">
        <v>0</v>
      </c>
      <c r="K85" s="6" t="n">
        <v>423600</v>
      </c>
      <c r="L85" s="6" t="n">
        <v>0</v>
      </c>
      <c r="M85" s="6" t="n">
        <v>0</v>
      </c>
      <c r="N85" s="6" t="n">
        <v>0</v>
      </c>
      <c r="O85" s="6" t="n">
        <v>423600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423600</v>
      </c>
      <c r="W85" s="6" t="n">
        <v>44817</v>
      </c>
      <c r="X85" s="6" t="n">
        <v>29652</v>
      </c>
      <c r="Y85" s="6" t="n">
        <v>0</v>
      </c>
      <c r="Z85" s="6" t="n">
        <v>0</v>
      </c>
      <c r="AA85" s="6" t="n">
        <v>74469</v>
      </c>
      <c r="AB85" s="6" t="n">
        <v>349131</v>
      </c>
      <c r="AC85" s="6" t="n">
        <v>3939</v>
      </c>
      <c r="AD85" s="6" t="n">
        <v>6862</v>
      </c>
      <c r="AE85" s="6" t="n">
        <v>12708</v>
      </c>
      <c r="AF85" s="6" t="n">
        <v>447109</v>
      </c>
    </row>
    <row r="86">
      <c r="A86" s="7" t="inlineStr">
        <is>
          <t>25179180-5</t>
        </is>
      </c>
      <c r="B86" s="7" t="n">
        <v>2</v>
      </c>
      <c r="C86" s="8" t="inlineStr">
        <is>
          <t>LENIS CASTRILLON JHON FREDY</t>
        </is>
      </c>
      <c r="D86" s="8" t="inlineStr">
        <is>
          <t>TECNICO CONTROL DOCUMENTOS</t>
        </is>
      </c>
      <c r="E86" s="8" t="inlineStr">
        <is>
          <t>ACCIONA IMPERMEABILIZACION DE TALUDES MURO SUR</t>
        </is>
      </c>
      <c r="F86" s="8" t="inlineStr">
        <is>
          <t>Indirecto</t>
        </is>
      </c>
      <c r="G86" s="7" t="n">
        <v>12</v>
      </c>
      <c r="H86" s="7" t="n">
        <v>0</v>
      </c>
      <c r="I86" s="9" t="n">
        <v>1160000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116000</v>
      </c>
      <c r="O86" s="9" t="n">
        <v>580000</v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580000</v>
      </c>
      <c r="W86" s="9" t="n">
        <v>66352</v>
      </c>
      <c r="X86" s="9" t="n">
        <v>40600</v>
      </c>
      <c r="Y86" s="9" t="n">
        <v>0</v>
      </c>
      <c r="Z86" s="9" t="n">
        <v>0</v>
      </c>
      <c r="AA86" s="9" t="n">
        <v>106952</v>
      </c>
      <c r="AB86" s="9" t="n">
        <v>473048</v>
      </c>
      <c r="AC86" s="9" t="n">
        <v>5394</v>
      </c>
      <c r="AD86" s="9" t="n">
        <v>9396</v>
      </c>
      <c r="AE86" s="9" t="n">
        <v>17400</v>
      </c>
      <c r="AF86" s="9" t="n">
        <v>612190</v>
      </c>
    </row>
    <row r="87">
      <c r="A87" s="4" t="inlineStr">
        <is>
          <t>10603186-K</t>
        </is>
      </c>
      <c r="B87" s="4" t="n">
        <v>2</v>
      </c>
      <c r="C87" s="5" t="inlineStr">
        <is>
          <t>LEON OLEA JAIME ANTONIO</t>
        </is>
      </c>
      <c r="D87" s="5" t="inlineStr">
        <is>
          <t>TECNICO RECURSOS HUMANOS</t>
        </is>
      </c>
      <c r="E87" s="5" t="inlineStr">
        <is>
          <t>TECHINT - RT</t>
        </is>
      </c>
      <c r="F87" s="5" t="inlineStr">
        <is>
          <t>Indirecto</t>
        </is>
      </c>
      <c r="G87" s="4" t="n">
        <v>30</v>
      </c>
      <c r="H87" s="4" t="n">
        <v>0</v>
      </c>
      <c r="I87" s="6" t="n">
        <v>1550000</v>
      </c>
      <c r="J87" s="6" t="n">
        <v>0</v>
      </c>
      <c r="K87" s="6" t="n">
        <v>465000</v>
      </c>
      <c r="L87" s="6" t="n">
        <v>0</v>
      </c>
      <c r="M87" s="6" t="n">
        <v>0</v>
      </c>
      <c r="N87" s="6" t="n">
        <v>213354</v>
      </c>
      <c r="O87" s="6" t="n">
        <v>2228354</v>
      </c>
      <c r="P87" s="6" t="n">
        <v>0</v>
      </c>
      <c r="Q87" s="6" t="n">
        <v>0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2250496</v>
      </c>
      <c r="W87" s="6" t="n">
        <v>251135</v>
      </c>
      <c r="X87" s="6" t="n">
        <v>163011</v>
      </c>
      <c r="Y87" s="6" t="n">
        <v>0</v>
      </c>
      <c r="Z87" s="6" t="n">
        <v>34451</v>
      </c>
      <c r="AA87" s="6" t="n">
        <v>448597</v>
      </c>
      <c r="AB87" s="6" t="n">
        <v>1801899</v>
      </c>
      <c r="AC87" s="6" t="n">
        <v>20724</v>
      </c>
      <c r="AD87" s="6" t="n">
        <v>36099</v>
      </c>
      <c r="AE87" s="6" t="n">
        <v>66851</v>
      </c>
      <c r="AF87" s="6" t="n">
        <v>2352028</v>
      </c>
    </row>
    <row r="88">
      <c r="A88" s="7" t="inlineStr">
        <is>
          <t>15834377-0</t>
        </is>
      </c>
      <c r="B88" s="7" t="n">
        <v>3</v>
      </c>
      <c r="C88" s="8" t="inlineStr">
        <is>
          <t>LEON PLAZA WILLIAMS NELSON</t>
        </is>
      </c>
      <c r="D88" s="8" t="inlineStr">
        <is>
          <t>MAESTRO SEGUNDA GEOSINTETICOS</t>
        </is>
      </c>
      <c r="E88" s="8" t="inlineStr">
        <is>
          <t>TECHINT - RT</t>
        </is>
      </c>
      <c r="F88" s="8" t="inlineStr">
        <is>
          <t>Directo</t>
        </is>
      </c>
      <c r="G88" s="7" t="n">
        <v>14</v>
      </c>
      <c r="H88" s="7" t="n">
        <v>0</v>
      </c>
      <c r="I88" s="9" t="n">
        <v>850000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99167</v>
      </c>
      <c r="O88" s="9" t="n">
        <v>495834</v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495834</v>
      </c>
      <c r="W88" s="9" t="n">
        <v>56773</v>
      </c>
      <c r="X88" s="9" t="n">
        <v>34708</v>
      </c>
      <c r="Y88" s="9" t="n">
        <v>0</v>
      </c>
      <c r="Z88" s="9" t="n">
        <v>0</v>
      </c>
      <c r="AA88" s="9" t="n">
        <v>91481</v>
      </c>
      <c r="AB88" s="9" t="n">
        <v>404353</v>
      </c>
      <c r="AC88" s="9" t="n">
        <v>4611</v>
      </c>
      <c r="AD88" s="9" t="n">
        <v>8033</v>
      </c>
      <c r="AE88" s="9" t="n">
        <v>14875</v>
      </c>
      <c r="AF88" s="9" t="n">
        <v>523353</v>
      </c>
    </row>
    <row r="89">
      <c r="A89" s="4" t="inlineStr">
        <is>
          <t>13012039-3</t>
        </is>
      </c>
      <c r="B89" s="4" t="n">
        <v>1</v>
      </c>
      <c r="C89" s="5" t="inlineStr">
        <is>
          <t>LOBOS PIZARRO JORGE HUMBERTO</t>
        </is>
      </c>
      <c r="D89" s="5" t="inlineStr">
        <is>
          <t>JEFE CONTROL DE CALIDAD</t>
        </is>
      </c>
      <c r="E89" s="5" t="inlineStr">
        <is>
          <t>TECHINT - RT</t>
        </is>
      </c>
      <c r="F89" s="5" t="inlineStr">
        <is>
          <t>Indirecto</t>
        </is>
      </c>
      <c r="G89" s="4" t="n">
        <v>30</v>
      </c>
      <c r="H89" s="4" t="n">
        <v>0</v>
      </c>
      <c r="I89" s="6" t="n">
        <v>3600000</v>
      </c>
      <c r="J89" s="6" t="n">
        <v>0</v>
      </c>
      <c r="K89" s="6" t="n">
        <v>0</v>
      </c>
      <c r="L89" s="6" t="n">
        <v>0</v>
      </c>
      <c r="M89" s="6" t="n">
        <v>0</v>
      </c>
      <c r="N89" s="6" t="n">
        <v>213354</v>
      </c>
      <c r="O89" s="6" t="n">
        <v>3813354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3813354</v>
      </c>
      <c r="W89" s="6" t="n">
        <v>418128</v>
      </c>
      <c r="X89" s="6" t="n">
        <v>256416</v>
      </c>
      <c r="Y89" s="6" t="n">
        <v>22880</v>
      </c>
      <c r="Z89" s="6" t="n">
        <v>126497</v>
      </c>
      <c r="AA89" s="6" t="n">
        <v>823921</v>
      </c>
      <c r="AB89" s="6" t="n">
        <v>2989433</v>
      </c>
      <c r="AC89" s="6" t="n">
        <v>33991</v>
      </c>
      <c r="AD89" s="6" t="n">
        <v>59210</v>
      </c>
      <c r="AE89" s="6" t="n">
        <v>91520</v>
      </c>
      <c r="AF89" s="6" t="n">
        <v>3998075</v>
      </c>
    </row>
    <row r="90">
      <c r="A90" s="7" t="inlineStr">
        <is>
          <t>16054274-8</t>
        </is>
      </c>
      <c r="B90" s="7" t="n">
        <v>2</v>
      </c>
      <c r="C90" s="8" t="inlineStr">
        <is>
          <t>MAYORGA ARCOS CARLOS MANUEL</t>
        </is>
      </c>
      <c r="D90" s="8" t="inlineStr">
        <is>
          <t>TECNICO CONTROL CALIDAD</t>
        </is>
      </c>
      <c r="E90" s="8" t="inlineStr">
        <is>
          <t>TECHINT - RT</t>
        </is>
      </c>
      <c r="F90" s="8" t="inlineStr">
        <is>
          <t>Directo</t>
        </is>
      </c>
      <c r="G90" s="7" t="n">
        <v>30</v>
      </c>
      <c r="H90" s="7" t="n">
        <v>0</v>
      </c>
      <c r="I90" s="9" t="n">
        <v>1315000</v>
      </c>
      <c r="J90" s="9" t="n">
        <v>0</v>
      </c>
      <c r="K90" s="9" t="n">
        <v>225000</v>
      </c>
      <c r="L90" s="9" t="n">
        <v>0</v>
      </c>
      <c r="M90" s="9" t="n">
        <v>0</v>
      </c>
      <c r="N90" s="9" t="n">
        <v>213354</v>
      </c>
      <c r="O90" s="9" t="n">
        <v>1753354</v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1753354</v>
      </c>
      <c r="W90" s="9" t="n">
        <v>200759</v>
      </c>
      <c r="X90" s="9" t="n">
        <v>141731</v>
      </c>
      <c r="Y90" s="9" t="n">
        <v>0</v>
      </c>
      <c r="Z90" s="9" t="n">
        <v>18317</v>
      </c>
      <c r="AA90" s="9" t="n">
        <v>360807</v>
      </c>
      <c r="AB90" s="9" t="n">
        <v>1392547</v>
      </c>
      <c r="AC90" s="9" t="n">
        <v>16306</v>
      </c>
      <c r="AD90" s="9" t="n">
        <v>28404</v>
      </c>
      <c r="AE90" s="9" t="n">
        <v>52601</v>
      </c>
      <c r="AF90" s="9" t="n">
        <v>1850665</v>
      </c>
    </row>
    <row r="91">
      <c r="A91" s="4" t="inlineStr">
        <is>
          <t>12443848-9</t>
        </is>
      </c>
      <c r="B91" s="4" t="n">
        <v>2</v>
      </c>
      <c r="C91" s="5" t="inlineStr">
        <is>
          <t>MEDALLA CASTILLO MANUEL SEGUNDO</t>
        </is>
      </c>
      <c r="D91" s="5" t="inlineStr">
        <is>
          <t>AYUDANTE GEOSINTETICOS</t>
        </is>
      </c>
      <c r="E91" s="5" t="inlineStr">
        <is>
          <t>SERVICIO DE IMPERMEABILIZACION CELDAS RSD1 Y RSD CASERONES</t>
        </is>
      </c>
      <c r="F91" s="5" t="inlineStr">
        <is>
          <t>Directo</t>
        </is>
      </c>
      <c r="G91" s="4" t="n">
        <v>19</v>
      </c>
      <c r="H91" s="4" t="n">
        <v>0</v>
      </c>
      <c r="I91" s="6" t="n">
        <v>834000</v>
      </c>
      <c r="J91" s="6" t="n">
        <v>0</v>
      </c>
      <c r="K91" s="6" t="n">
        <v>160000</v>
      </c>
      <c r="L91" s="6" t="n">
        <v>0</v>
      </c>
      <c r="M91" s="6" t="n">
        <v>0</v>
      </c>
      <c r="N91" s="6" t="n">
        <v>172050</v>
      </c>
      <c r="O91" s="6" t="n">
        <v>860250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860250</v>
      </c>
      <c r="W91" s="6" t="n">
        <v>98499</v>
      </c>
      <c r="X91" s="6" t="n">
        <v>60218</v>
      </c>
      <c r="Y91" s="6" t="n">
        <v>0</v>
      </c>
      <c r="Z91" s="6" t="n">
        <v>0</v>
      </c>
      <c r="AA91" s="6" t="n">
        <v>158717</v>
      </c>
      <c r="AB91" s="6" t="n">
        <v>701533</v>
      </c>
      <c r="AC91" s="6" t="n">
        <v>8000</v>
      </c>
      <c r="AD91" s="6" t="n">
        <v>13936</v>
      </c>
      <c r="AE91" s="6" t="n">
        <v>25808</v>
      </c>
      <c r="AF91" s="6" t="n">
        <v>907994</v>
      </c>
    </row>
    <row r="92">
      <c r="A92" s="7" t="inlineStr">
        <is>
          <t>26084510-1</t>
        </is>
      </c>
      <c r="B92" s="7" t="n">
        <v>2</v>
      </c>
      <c r="C92" s="8" t="inlineStr">
        <is>
          <t>MENDOZA ALTAMIRANO ALEXANDER</t>
        </is>
      </c>
      <c r="D92" s="8" t="inlineStr">
        <is>
          <t>MAESTRO PRIMERA GEOSINTETICOS</t>
        </is>
      </c>
      <c r="E92" s="8" t="inlineStr">
        <is>
          <t>TECHINT - RT</t>
        </is>
      </c>
      <c r="F92" s="8" t="inlineStr">
        <is>
          <t>Directo</t>
        </is>
      </c>
      <c r="G92" s="7" t="n">
        <v>30</v>
      </c>
      <c r="H92" s="7" t="n">
        <v>0</v>
      </c>
      <c r="I92" s="9" t="n">
        <v>1315000</v>
      </c>
      <c r="J92" s="9" t="n">
        <v>0</v>
      </c>
      <c r="K92" s="9" t="n">
        <v>487998</v>
      </c>
      <c r="L92" s="9" t="n">
        <v>0</v>
      </c>
      <c r="M92" s="9" t="n">
        <v>0</v>
      </c>
      <c r="N92" s="9" t="n">
        <v>213354</v>
      </c>
      <c r="O92" s="9" t="n">
        <v>2016352</v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2016352</v>
      </c>
      <c r="W92" s="9" t="n">
        <v>225025</v>
      </c>
      <c r="X92" s="9" t="n">
        <v>141145</v>
      </c>
      <c r="Y92" s="9" t="n">
        <v>0</v>
      </c>
      <c r="Z92" s="9" t="n">
        <v>27890</v>
      </c>
      <c r="AA92" s="9" t="n">
        <v>394060</v>
      </c>
      <c r="AB92" s="9" t="n">
        <v>1622292</v>
      </c>
      <c r="AC92" s="9" t="n">
        <v>18752</v>
      </c>
      <c r="AD92" s="9" t="n">
        <v>32665</v>
      </c>
      <c r="AE92" s="9" t="n">
        <v>60491</v>
      </c>
      <c r="AF92" s="9" t="n">
        <v>2128260</v>
      </c>
    </row>
    <row r="93">
      <c r="A93" s="4" t="inlineStr">
        <is>
          <t>11820207-4</t>
        </is>
      </c>
      <c r="B93" s="4" t="n">
        <v>3</v>
      </c>
      <c r="C93" s="5" t="inlineStr">
        <is>
          <t>MIRANDA CACERES HECTOR ANTONIO</t>
        </is>
      </c>
      <c r="D93" s="5" t="inlineStr">
        <is>
          <t>MAESTRO PRIMERA GEOSINTETICOS</t>
        </is>
      </c>
      <c r="E93" s="5" t="inlineStr">
        <is>
          <t>TECHINT - RT</t>
        </is>
      </c>
      <c r="F93" s="5" t="inlineStr">
        <is>
          <t>Directo</t>
        </is>
      </c>
      <c r="G93" s="4" t="n">
        <v>28</v>
      </c>
      <c r="H93" s="4" t="n">
        <v>0</v>
      </c>
      <c r="I93" s="6" t="n">
        <v>1315000</v>
      </c>
      <c r="J93" s="6" t="n">
        <v>0</v>
      </c>
      <c r="K93" s="6" t="n">
        <v>0</v>
      </c>
      <c r="L93" s="6" t="n">
        <v>0</v>
      </c>
      <c r="M93" s="6" t="n">
        <v>0</v>
      </c>
      <c r="N93" s="6" t="n">
        <v>213354</v>
      </c>
      <c r="O93" s="6" t="n">
        <v>1440687</v>
      </c>
      <c r="P93" s="6" t="n">
        <v>0</v>
      </c>
      <c r="Q93" s="6" t="n">
        <v>0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1440687</v>
      </c>
      <c r="W93" s="6" t="n">
        <v>164815</v>
      </c>
      <c r="X93" s="6" t="n">
        <v>131562</v>
      </c>
      <c r="Y93" s="6" t="n">
        <v>0</v>
      </c>
      <c r="Z93" s="6" t="n">
        <v>7655</v>
      </c>
      <c r="AA93" s="6" t="n">
        <v>304032</v>
      </c>
      <c r="AB93" s="6" t="n">
        <v>1136655</v>
      </c>
      <c r="AC93" s="6" t="n">
        <v>13398</v>
      </c>
      <c r="AD93" s="6" t="n">
        <v>23339</v>
      </c>
      <c r="AE93" s="6" t="n">
        <v>43221</v>
      </c>
      <c r="AF93" s="6" t="n">
        <v>1520645</v>
      </c>
    </row>
    <row r="94">
      <c r="A94" s="7" t="inlineStr">
        <is>
          <t>20262451-0</t>
        </is>
      </c>
      <c r="B94" s="7" t="n">
        <v>1</v>
      </c>
      <c r="C94" s="8" t="inlineStr">
        <is>
          <t xml:space="preserve">MIRANDA IRIBARREN SEBASTIAN LEE OSCAR </t>
        </is>
      </c>
      <c r="D94" s="8" t="inlineStr">
        <is>
          <t>BODEGUERO</t>
        </is>
      </c>
      <c r="E94" s="8" t="inlineStr">
        <is>
          <t>SERVICIO DE IMPERMEABILIZACION CELDAS RSD1 Y RSD CASERONES</t>
        </is>
      </c>
      <c r="F94" s="8" t="inlineStr">
        <is>
          <t>Indirecto</t>
        </is>
      </c>
      <c r="G94" s="7" t="n">
        <v>5</v>
      </c>
      <c r="H94" s="7" t="n">
        <v>0</v>
      </c>
      <c r="I94" s="9" t="n">
        <v>1093000</v>
      </c>
      <c r="J94" s="9" t="n">
        <v>0</v>
      </c>
      <c r="K94" s="9" t="n">
        <v>125000</v>
      </c>
      <c r="L94" s="9" t="n">
        <v>0</v>
      </c>
      <c r="M94" s="9" t="n">
        <v>0</v>
      </c>
      <c r="N94" s="9" t="n">
        <v>76792</v>
      </c>
      <c r="O94" s="9" t="n">
        <v>383959</v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383959</v>
      </c>
      <c r="W94" s="9" t="n">
        <v>43272</v>
      </c>
      <c r="X94" s="9" t="n">
        <v>26877</v>
      </c>
      <c r="Y94" s="9" t="n">
        <v>0</v>
      </c>
      <c r="Z94" s="9" t="n">
        <v>0</v>
      </c>
      <c r="AA94" s="9" t="n">
        <v>70149</v>
      </c>
      <c r="AB94" s="9" t="n">
        <v>313810</v>
      </c>
      <c r="AC94" s="9" t="n">
        <v>3571</v>
      </c>
      <c r="AD94" s="9" t="n">
        <v>6220</v>
      </c>
      <c r="AE94" s="9" t="n">
        <v>11519</v>
      </c>
      <c r="AF94" s="9" t="n">
        <v>405269</v>
      </c>
    </row>
    <row r="95">
      <c r="A95" s="4" t="inlineStr">
        <is>
          <t>13419327-1</t>
        </is>
      </c>
      <c r="B95" s="4" t="n">
        <v>1</v>
      </c>
      <c r="C95" s="5" t="inlineStr">
        <is>
          <t>MIRANDA MERCADO MARCO ANTONIO</t>
        </is>
      </c>
      <c r="D95" s="5" t="inlineStr">
        <is>
          <t>SUPERVISOR GEOSINTETICOS</t>
        </is>
      </c>
      <c r="E95" s="5" t="inlineStr">
        <is>
          <t>ACCIONA IMPERMEABILIZACION DE TALUDES MURO SUR</t>
        </is>
      </c>
      <c r="F95" s="5" t="inlineStr">
        <is>
          <t>Indirecto</t>
        </is>
      </c>
      <c r="G95" s="4" t="n">
        <v>30</v>
      </c>
      <c r="H95" s="4" t="n">
        <v>0</v>
      </c>
      <c r="I95" s="6" t="n">
        <v>1768000</v>
      </c>
      <c r="J95" s="6" t="n">
        <v>0</v>
      </c>
      <c r="K95" s="6" t="n">
        <v>1048000</v>
      </c>
      <c r="L95" s="6" t="n">
        <v>0</v>
      </c>
      <c r="M95" s="6" t="n">
        <v>0</v>
      </c>
      <c r="N95" s="6" t="n">
        <v>213354</v>
      </c>
      <c r="O95" s="6" t="n">
        <v>3029354</v>
      </c>
      <c r="P95" s="6" t="n">
        <v>0</v>
      </c>
      <c r="Q95" s="6" t="n">
        <v>10000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3039354</v>
      </c>
      <c r="W95" s="6" t="n">
        <v>338076</v>
      </c>
      <c r="X95" s="6" t="n">
        <v>220272</v>
      </c>
      <c r="Y95" s="6" t="n">
        <v>18176</v>
      </c>
      <c r="Z95" s="6" t="n">
        <v>73403</v>
      </c>
      <c r="AA95" s="6" t="n">
        <v>649927</v>
      </c>
      <c r="AB95" s="6" t="n">
        <v>2389427</v>
      </c>
      <c r="AC95" s="6" t="n">
        <v>28173</v>
      </c>
      <c r="AD95" s="6" t="n">
        <v>49076</v>
      </c>
      <c r="AE95" s="6" t="n">
        <v>72704</v>
      </c>
      <c r="AF95" s="6" t="n">
        <v>3179307</v>
      </c>
    </row>
    <row r="96">
      <c r="A96" s="7" t="inlineStr">
        <is>
          <t>24718250-0</t>
        </is>
      </c>
      <c r="B96" s="7" t="n">
        <v>1</v>
      </c>
      <c r="C96" s="8" t="inlineStr">
        <is>
          <t>MOSQUERA VALDERRAMA GUILLERMO</t>
        </is>
      </c>
      <c r="D96" s="8" t="inlineStr">
        <is>
          <t>RECEPCIONISTA ADMINISTRATIVO</t>
        </is>
      </c>
      <c r="E96" s="8" t="inlineStr">
        <is>
          <t>Oficina Antofagasta</t>
        </is>
      </c>
      <c r="F96" s="8" t="inlineStr">
        <is>
          <t>Oficina</t>
        </is>
      </c>
      <c r="G96" s="7" t="n">
        <v>30</v>
      </c>
      <c r="H96" s="7" t="n">
        <v>0</v>
      </c>
      <c r="I96" s="9" t="n">
        <v>961000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213354</v>
      </c>
      <c r="O96" s="9" t="n">
        <v>1174354</v>
      </c>
      <c r="P96" s="9" t="n">
        <v>0</v>
      </c>
      <c r="Q96" s="9" t="n">
        <v>10000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1184354</v>
      </c>
      <c r="W96" s="9" t="n">
        <v>124247</v>
      </c>
      <c r="X96" s="9" t="n">
        <v>82205</v>
      </c>
      <c r="Y96" s="9" t="n">
        <v>7046</v>
      </c>
      <c r="Z96" s="9" t="n">
        <v>317</v>
      </c>
      <c r="AA96" s="9" t="n">
        <v>213815</v>
      </c>
      <c r="AB96" s="9" t="n">
        <v>970539</v>
      </c>
      <c r="AC96" s="9" t="n">
        <v>10921</v>
      </c>
      <c r="AD96" s="9" t="n">
        <v>19025</v>
      </c>
      <c r="AE96" s="9" t="n">
        <v>28184</v>
      </c>
      <c r="AF96" s="9" t="n">
        <v>1232484</v>
      </c>
    </row>
    <row r="97">
      <c r="A97" s="4" t="inlineStr">
        <is>
          <t>16352344-2</t>
        </is>
      </c>
      <c r="B97" s="4" t="n">
        <v>2</v>
      </c>
      <c r="C97" s="5" t="inlineStr">
        <is>
          <t>MUÑOZ ABARCA YIMMY ALEJANDRO</t>
        </is>
      </c>
      <c r="D97" s="5" t="inlineStr">
        <is>
          <t>MAESTRO SEGUNDA GEOSINTETICOS</t>
        </is>
      </c>
      <c r="E97" s="5" t="inlineStr">
        <is>
          <t>TECHINT - RT</t>
        </is>
      </c>
      <c r="F97" s="5" t="inlineStr">
        <is>
          <t>Directo</t>
        </is>
      </c>
      <c r="G97" s="4" t="n">
        <v>30</v>
      </c>
      <c r="H97" s="4" t="n">
        <v>0</v>
      </c>
      <c r="I97" s="6" t="n">
        <v>850000</v>
      </c>
      <c r="J97" s="6" t="n">
        <v>0</v>
      </c>
      <c r="K97" s="6" t="n">
        <v>395000</v>
      </c>
      <c r="L97" s="6" t="n">
        <v>0</v>
      </c>
      <c r="M97" s="6" t="n">
        <v>0</v>
      </c>
      <c r="N97" s="6" t="n">
        <v>213354</v>
      </c>
      <c r="O97" s="6" t="n">
        <v>1458354</v>
      </c>
      <c r="P97" s="6" t="n">
        <v>0</v>
      </c>
      <c r="Q97" s="6" t="n">
        <v>0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1458354</v>
      </c>
      <c r="W97" s="6" t="n">
        <v>166982</v>
      </c>
      <c r="X97" s="6" t="n">
        <v>102085</v>
      </c>
      <c r="Y97" s="6" t="n">
        <v>0</v>
      </c>
      <c r="Z97" s="6" t="n">
        <v>9454</v>
      </c>
      <c r="AA97" s="6" t="n">
        <v>278521</v>
      </c>
      <c r="AB97" s="6" t="n">
        <v>1179833</v>
      </c>
      <c r="AC97" s="6" t="n">
        <v>13563</v>
      </c>
      <c r="AD97" s="6" t="n">
        <v>23625</v>
      </c>
      <c r="AE97" s="6" t="n">
        <v>43751</v>
      </c>
      <c r="AF97" s="6" t="n">
        <v>1539293</v>
      </c>
    </row>
    <row r="98">
      <c r="A98" s="7" t="inlineStr">
        <is>
          <t>12227004-1</t>
        </is>
      </c>
      <c r="B98" s="7" t="n">
        <v>1</v>
      </c>
      <c r="C98" s="8" t="inlineStr">
        <is>
          <t>NARVAEZ PEÑA ALDO IVAN</t>
        </is>
      </c>
      <c r="D98" s="8" t="inlineStr">
        <is>
          <t>SUBGERENTE TECNICO</t>
        </is>
      </c>
      <c r="E98" s="8" t="inlineStr">
        <is>
          <t>Dpto.  Sustentabilid</t>
        </is>
      </c>
      <c r="F98" s="8" t="inlineStr">
        <is>
          <t>Oficina</t>
        </is>
      </c>
      <c r="G98" s="7" t="n">
        <v>30</v>
      </c>
      <c r="H98" s="7" t="n">
        <v>0</v>
      </c>
      <c r="I98" s="9" t="n">
        <v>5318000</v>
      </c>
      <c r="J98" s="9" t="n">
        <v>0</v>
      </c>
      <c r="K98" s="9" t="n">
        <v>179000</v>
      </c>
      <c r="L98" s="9" t="n">
        <v>0</v>
      </c>
      <c r="M98" s="9" t="n">
        <v>0</v>
      </c>
      <c r="N98" s="9" t="n">
        <v>213354</v>
      </c>
      <c r="O98" s="9" t="n">
        <v>5710354</v>
      </c>
      <c r="P98" s="9" t="n">
        <v>0</v>
      </c>
      <c r="Q98" s="9" t="n">
        <v>10000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5720354</v>
      </c>
      <c r="W98" s="9" t="n">
        <v>418128</v>
      </c>
      <c r="X98" s="9" t="n">
        <v>358186</v>
      </c>
      <c r="Y98" s="9" t="n">
        <v>32943</v>
      </c>
      <c r="Z98" s="9" t="n">
        <v>364440</v>
      </c>
      <c r="AA98" s="9" t="n">
        <v>1173697</v>
      </c>
      <c r="AB98" s="9" t="n">
        <v>4546657</v>
      </c>
      <c r="AC98" s="9" t="n">
        <v>33991</v>
      </c>
      <c r="AD98" s="9" t="n">
        <v>59210</v>
      </c>
      <c r="AE98" s="9" t="n">
        <v>131774</v>
      </c>
      <c r="AF98" s="9" t="n">
        <v>5935329</v>
      </c>
    </row>
    <row r="99">
      <c r="A99" s="4" t="inlineStr">
        <is>
          <t>15049277-7</t>
        </is>
      </c>
      <c r="B99" s="4" t="n">
        <v>3</v>
      </c>
      <c r="C99" s="5" t="inlineStr">
        <is>
          <t>NAVARRETE AVALOS JUAN GABRIEL</t>
        </is>
      </c>
      <c r="D99" s="5" t="inlineStr">
        <is>
          <t>RIGGER</t>
        </is>
      </c>
      <c r="E99" s="5" t="inlineStr">
        <is>
          <t>TECHINT - RT</t>
        </is>
      </c>
      <c r="F99" s="5" t="inlineStr">
        <is>
          <t>Directo</t>
        </is>
      </c>
      <c r="G99" s="4" t="n">
        <v>28</v>
      </c>
      <c r="H99" s="4" t="n">
        <v>0</v>
      </c>
      <c r="I99" s="6" t="n">
        <v>1315000</v>
      </c>
      <c r="J99" s="6" t="n">
        <v>0</v>
      </c>
      <c r="K99" s="6" t="n">
        <v>0</v>
      </c>
      <c r="L99" s="6" t="n">
        <v>0</v>
      </c>
      <c r="M99" s="6" t="n">
        <v>0</v>
      </c>
      <c r="N99" s="6" t="n">
        <v>213354</v>
      </c>
      <c r="O99" s="6" t="n">
        <v>1440687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1440687</v>
      </c>
      <c r="W99" s="6" t="n">
        <v>164815</v>
      </c>
      <c r="X99" s="6" t="n">
        <v>167381</v>
      </c>
      <c r="Y99" s="6" t="n">
        <v>0</v>
      </c>
      <c r="Z99" s="6" t="n">
        <v>6222</v>
      </c>
      <c r="AA99" s="6" t="n">
        <v>338418</v>
      </c>
      <c r="AB99" s="6" t="n">
        <v>1102269</v>
      </c>
      <c r="AC99" s="6" t="n">
        <v>13398</v>
      </c>
      <c r="AD99" s="6" t="n">
        <v>23339</v>
      </c>
      <c r="AE99" s="6" t="n">
        <v>43221</v>
      </c>
      <c r="AF99" s="6" t="n">
        <v>1520645</v>
      </c>
    </row>
    <row r="100">
      <c r="A100" s="7" t="inlineStr">
        <is>
          <t>21463925-4</t>
        </is>
      </c>
      <c r="B100" s="7" t="n">
        <v>3</v>
      </c>
      <c r="C100" s="8" t="inlineStr">
        <is>
          <t>NUÑEZ DELGADO MAICOL ANDRES</t>
        </is>
      </c>
      <c r="D100" s="8" t="inlineStr">
        <is>
          <t>MAESTRO SEGUNDA GEOSINTETICOS</t>
        </is>
      </c>
      <c r="E100" s="8" t="inlineStr">
        <is>
          <t>TECHINT - RT</t>
        </is>
      </c>
      <c r="F100" s="8" t="inlineStr">
        <is>
          <t>Directo</t>
        </is>
      </c>
      <c r="G100" s="7" t="n">
        <v>20</v>
      </c>
      <c r="H100" s="7" t="n">
        <v>0</v>
      </c>
      <c r="I100" s="9" t="n">
        <v>850000</v>
      </c>
      <c r="J100" s="9" t="n">
        <v>0</v>
      </c>
      <c r="K100" s="9" t="n">
        <v>85000</v>
      </c>
      <c r="L100" s="9" t="n">
        <v>0</v>
      </c>
      <c r="M100" s="9" t="n">
        <v>0</v>
      </c>
      <c r="N100" s="9" t="n">
        <v>162917</v>
      </c>
      <c r="O100" s="9" t="n">
        <v>814584</v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814584</v>
      </c>
      <c r="W100" s="9" t="n">
        <v>85205</v>
      </c>
      <c r="X100" s="9" t="n">
        <v>57021</v>
      </c>
      <c r="Y100" s="9" t="n">
        <v>0</v>
      </c>
      <c r="Z100" s="9" t="n">
        <v>0</v>
      </c>
      <c r="AA100" s="9" t="n">
        <v>142226</v>
      </c>
      <c r="AB100" s="9" t="n">
        <v>672358</v>
      </c>
      <c r="AC100" s="9" t="n">
        <v>7576</v>
      </c>
      <c r="AD100" s="9" t="n">
        <v>13196</v>
      </c>
      <c r="AE100" s="9" t="n">
        <v>24438</v>
      </c>
      <c r="AF100" s="9" t="n">
        <v>859794</v>
      </c>
    </row>
    <row r="101">
      <c r="A101" s="4" t="inlineStr">
        <is>
          <t>9717041-K</t>
        </is>
      </c>
      <c r="B101" s="4" t="n">
        <v>1</v>
      </c>
      <c r="C101" s="5" t="inlineStr">
        <is>
          <t>OLIVARES DIAZ GONZALO LUIS</t>
        </is>
      </c>
      <c r="D101" s="5" t="inlineStr">
        <is>
          <t>ENCARGADO COMPRAS Y ABASTECIMIENTO</t>
        </is>
      </c>
      <c r="E101" s="5" t="inlineStr">
        <is>
          <t>TECHINT - RT</t>
        </is>
      </c>
      <c r="F101" s="5" t="inlineStr">
        <is>
          <t>Indirecto</t>
        </is>
      </c>
      <c r="G101" s="4" t="n">
        <v>30</v>
      </c>
      <c r="H101" s="4" t="n">
        <v>0</v>
      </c>
      <c r="I101" s="6" t="n">
        <v>2220000</v>
      </c>
      <c r="J101" s="6" t="n">
        <v>0</v>
      </c>
      <c r="K101" s="6" t="n">
        <v>0</v>
      </c>
      <c r="L101" s="6" t="n">
        <v>0</v>
      </c>
      <c r="M101" s="6" t="n">
        <v>0</v>
      </c>
      <c r="N101" s="6" t="n">
        <v>213354</v>
      </c>
      <c r="O101" s="6" t="n">
        <v>2433354</v>
      </c>
      <c r="P101" s="6" t="n">
        <v>110000</v>
      </c>
      <c r="Q101" s="6" t="n">
        <v>10000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2601354</v>
      </c>
      <c r="W101" s="6" t="n">
        <v>274239</v>
      </c>
      <c r="X101" s="6" t="n">
        <v>170335</v>
      </c>
      <c r="Y101" s="6" t="n">
        <v>14600</v>
      </c>
      <c r="Z101" s="6" t="n">
        <v>40850</v>
      </c>
      <c r="AA101" s="6" t="n">
        <v>500024</v>
      </c>
      <c r="AB101" s="6" t="n">
        <v>2101330</v>
      </c>
      <c r="AC101" s="6" t="n">
        <v>22630</v>
      </c>
      <c r="AD101" s="6" t="n">
        <v>39420</v>
      </c>
      <c r="AE101" s="6" t="n">
        <v>58400</v>
      </c>
      <c r="AF101" s="6" t="n">
        <v>2553804</v>
      </c>
    </row>
    <row r="102">
      <c r="A102" s="7" t="inlineStr">
        <is>
          <t>13205525-4</t>
        </is>
      </c>
      <c r="B102" s="7" t="n">
        <v>1</v>
      </c>
      <c r="C102" s="8" t="inlineStr">
        <is>
          <t>ORTIZ MEDEL SEBASTIAN DEL CARMEN</t>
        </is>
      </c>
      <c r="D102" s="8" t="inlineStr">
        <is>
          <t>CONDUCTOR CAMION</t>
        </is>
      </c>
      <c r="E102" s="8" t="inlineStr">
        <is>
          <t>TECHINT - RT</t>
        </is>
      </c>
      <c r="F102" s="8" t="inlineStr">
        <is>
          <t>Directo</t>
        </is>
      </c>
      <c r="G102" s="7" t="n">
        <v>30</v>
      </c>
      <c r="H102" s="7" t="n">
        <v>0</v>
      </c>
      <c r="I102" s="9" t="n">
        <v>1420500</v>
      </c>
      <c r="J102" s="9" t="n">
        <v>0</v>
      </c>
      <c r="K102" s="9" t="n">
        <v>225000</v>
      </c>
      <c r="L102" s="9" t="n">
        <v>0</v>
      </c>
      <c r="M102" s="9" t="n">
        <v>0</v>
      </c>
      <c r="N102" s="9" t="n">
        <v>213354</v>
      </c>
      <c r="O102" s="9" t="n">
        <v>1858854</v>
      </c>
      <c r="P102" s="9" t="n">
        <v>0</v>
      </c>
      <c r="Q102" s="9" t="n">
        <v>10000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1868854</v>
      </c>
      <c r="W102" s="9" t="n">
        <v>212839</v>
      </c>
      <c r="X102" s="9" t="n">
        <v>130120</v>
      </c>
      <c r="Y102" s="9" t="n">
        <v>11153</v>
      </c>
      <c r="Z102" s="9" t="n">
        <v>22072</v>
      </c>
      <c r="AA102" s="9" t="n">
        <v>376184</v>
      </c>
      <c r="AB102" s="9" t="n">
        <v>1492670</v>
      </c>
      <c r="AC102" s="9" t="n">
        <v>17287</v>
      </c>
      <c r="AD102" s="9" t="n">
        <v>30113</v>
      </c>
      <c r="AE102" s="9" t="n">
        <v>44612</v>
      </c>
      <c r="AF102" s="9" t="n">
        <v>1950866</v>
      </c>
    </row>
    <row r="103">
      <c r="A103" s="4" t="inlineStr">
        <is>
          <t>13218666-9</t>
        </is>
      </c>
      <c r="B103" s="4" t="n">
        <v>2</v>
      </c>
      <c r="C103" s="5" t="inlineStr">
        <is>
          <t>OYARCE CARVAJAL LUIS RICARDO</t>
        </is>
      </c>
      <c r="D103" s="5" t="inlineStr">
        <is>
          <t>MAESTRO PRIMERA GEOSINTETICOS</t>
        </is>
      </c>
      <c r="E103" s="5" t="inlineStr">
        <is>
          <t>TECHINT - RT</t>
        </is>
      </c>
      <c r="F103" s="5" t="inlineStr">
        <is>
          <t>Directo</t>
        </is>
      </c>
      <c r="G103" s="4" t="n">
        <v>21</v>
      </c>
      <c r="H103" s="4" t="n">
        <v>0</v>
      </c>
      <c r="I103" s="6" t="n">
        <v>1315000</v>
      </c>
      <c r="J103" s="6" t="n">
        <v>0</v>
      </c>
      <c r="K103" s="6" t="n">
        <v>0</v>
      </c>
      <c r="L103" s="6" t="n">
        <v>0</v>
      </c>
      <c r="M103" s="6" t="n">
        <v>0</v>
      </c>
      <c r="N103" s="6" t="n">
        <v>213354</v>
      </c>
      <c r="O103" s="6" t="n">
        <v>1133854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1133854</v>
      </c>
      <c r="W103" s="6" t="n">
        <v>129713</v>
      </c>
      <c r="X103" s="6" t="n">
        <v>79370</v>
      </c>
      <c r="Y103" s="6" t="n">
        <v>0</v>
      </c>
      <c r="Z103" s="6" t="n">
        <v>0</v>
      </c>
      <c r="AA103" s="6" t="n">
        <v>209083</v>
      </c>
      <c r="AB103" s="6" t="n">
        <v>924771</v>
      </c>
      <c r="AC103" s="6" t="n">
        <v>10545</v>
      </c>
      <c r="AD103" s="6" t="n">
        <v>18368</v>
      </c>
      <c r="AE103" s="6" t="n">
        <v>34016</v>
      </c>
      <c r="AF103" s="6" t="n">
        <v>1196783</v>
      </c>
    </row>
    <row r="104">
      <c r="A104" s="7" t="inlineStr">
        <is>
          <t>23979406-8</t>
        </is>
      </c>
      <c r="B104" s="7" t="n">
        <v>2</v>
      </c>
      <c r="C104" s="8" t="inlineStr">
        <is>
          <t>PALLY GRANDY VENTURA</t>
        </is>
      </c>
      <c r="D104" s="8" t="inlineStr">
        <is>
          <t>AYUDANTE GEOSINTETICOS</t>
        </is>
      </c>
      <c r="E104" s="8" t="inlineStr">
        <is>
          <t>TECHINT - RT</t>
        </is>
      </c>
      <c r="F104" s="8" t="inlineStr">
        <is>
          <t>Directo</t>
        </is>
      </c>
      <c r="G104" s="7" t="n">
        <v>12</v>
      </c>
      <c r="H104" s="7" t="n">
        <v>0</v>
      </c>
      <c r="I104" s="9" t="n">
        <v>746000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74600</v>
      </c>
      <c r="O104" s="9" t="n">
        <v>373000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373000</v>
      </c>
      <c r="W104" s="9" t="n">
        <v>41627</v>
      </c>
      <c r="X104" s="9" t="n">
        <v>26110</v>
      </c>
      <c r="Y104" s="9" t="n">
        <v>0</v>
      </c>
      <c r="Z104" s="9" t="n">
        <v>0</v>
      </c>
      <c r="AA104" s="9" t="n">
        <v>67737</v>
      </c>
      <c r="AB104" s="9" t="n">
        <v>305263</v>
      </c>
      <c r="AC104" s="9" t="n">
        <v>3469</v>
      </c>
      <c r="AD104" s="9" t="n">
        <v>6043</v>
      </c>
      <c r="AE104" s="9" t="n">
        <v>11190</v>
      </c>
      <c r="AF104" s="9" t="n">
        <v>393702</v>
      </c>
    </row>
    <row r="105">
      <c r="A105" s="4" t="inlineStr">
        <is>
          <t>16687732-6</t>
        </is>
      </c>
      <c r="B105" s="4" t="n">
        <v>2</v>
      </c>
      <c r="C105" s="5" t="inlineStr">
        <is>
          <t>PEREZ CALLEJAS HERMAN ENRIQUE</t>
        </is>
      </c>
      <c r="D105" s="5" t="inlineStr">
        <is>
          <t>AYUDANTE GEOSINTETICOS</t>
        </is>
      </c>
      <c r="E105" s="5" t="inlineStr">
        <is>
          <t>TECHINT - RT</t>
        </is>
      </c>
      <c r="F105" s="5" t="inlineStr">
        <is>
          <t>Directo</t>
        </is>
      </c>
      <c r="G105" s="4" t="n">
        <v>12</v>
      </c>
      <c r="H105" s="4" t="n">
        <v>0</v>
      </c>
      <c r="I105" s="6" t="n">
        <v>746000</v>
      </c>
      <c r="J105" s="6" t="n">
        <v>0</v>
      </c>
      <c r="K105" s="6" t="n">
        <v>0</v>
      </c>
      <c r="L105" s="6" t="n">
        <v>0</v>
      </c>
      <c r="M105" s="6" t="n">
        <v>0</v>
      </c>
      <c r="N105" s="6" t="n">
        <v>74600</v>
      </c>
      <c r="O105" s="6" t="n">
        <v>373000</v>
      </c>
      <c r="P105" s="6" t="n">
        <v>0</v>
      </c>
      <c r="Q105" s="6" t="n">
        <v>0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373000</v>
      </c>
      <c r="W105" s="6" t="n">
        <v>42708</v>
      </c>
      <c r="X105" s="6" t="n">
        <v>26110</v>
      </c>
      <c r="Y105" s="6" t="n">
        <v>0</v>
      </c>
      <c r="Z105" s="6" t="n">
        <v>0</v>
      </c>
      <c r="AA105" s="6" t="n">
        <v>68818</v>
      </c>
      <c r="AB105" s="6" t="n">
        <v>304182</v>
      </c>
      <c r="AC105" s="6" t="n">
        <v>3469</v>
      </c>
      <c r="AD105" s="6" t="n">
        <v>6043</v>
      </c>
      <c r="AE105" s="6" t="n">
        <v>11190</v>
      </c>
      <c r="AF105" s="6" t="n">
        <v>393702</v>
      </c>
    </row>
    <row r="106">
      <c r="A106" s="7" t="inlineStr">
        <is>
          <t>9912965-4</t>
        </is>
      </c>
      <c r="B106" s="7" t="n">
        <v>1</v>
      </c>
      <c r="C106" s="8" t="inlineStr">
        <is>
          <t>PEREZ OSSANDON ORIEL EDUARDO</t>
        </is>
      </c>
      <c r="D106" s="8" t="inlineStr">
        <is>
          <t>SUPERVISOR CONTROL CALIDAD</t>
        </is>
      </c>
      <c r="E106" s="8" t="inlineStr">
        <is>
          <t>TECHINT - RT</t>
        </is>
      </c>
      <c r="F106" s="8" t="inlineStr">
        <is>
          <t>Indirecto</t>
        </is>
      </c>
      <c r="G106" s="7" t="n">
        <v>30</v>
      </c>
      <c r="H106" s="7" t="n">
        <v>0</v>
      </c>
      <c r="I106" s="9" t="n">
        <v>2121000</v>
      </c>
      <c r="J106" s="9" t="n">
        <v>0</v>
      </c>
      <c r="K106" s="9" t="n">
        <v>519000</v>
      </c>
      <c r="L106" s="9" t="n">
        <v>0</v>
      </c>
      <c r="M106" s="9" t="n">
        <v>0</v>
      </c>
      <c r="N106" s="9" t="n">
        <v>213354</v>
      </c>
      <c r="O106" s="9" t="n">
        <v>2853354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2853354</v>
      </c>
      <c r="W106" s="9" t="n">
        <v>321573</v>
      </c>
      <c r="X106" s="9" t="n">
        <v>199735</v>
      </c>
      <c r="Y106" s="9" t="n">
        <v>17120</v>
      </c>
      <c r="Z106" s="9" t="n">
        <v>62371</v>
      </c>
      <c r="AA106" s="9" t="n">
        <v>600799</v>
      </c>
      <c r="AB106" s="9" t="n">
        <v>2252555</v>
      </c>
      <c r="AC106" s="9" t="n">
        <v>26536</v>
      </c>
      <c r="AD106" s="9" t="n">
        <v>46224</v>
      </c>
      <c r="AE106" s="9" t="n">
        <v>68480</v>
      </c>
      <c r="AF106" s="9" t="n">
        <v>2994594</v>
      </c>
    </row>
    <row r="107">
      <c r="A107" s="4" t="inlineStr">
        <is>
          <t>17193572-5</t>
        </is>
      </c>
      <c r="B107" s="4" t="n">
        <v>4</v>
      </c>
      <c r="C107" s="5" t="inlineStr">
        <is>
          <t>PEREZ PEREZ INGRID TAMARA</t>
        </is>
      </c>
      <c r="D107" s="5" t="inlineStr">
        <is>
          <t>ASESOR PREVENCION DE RIESGOS</t>
        </is>
      </c>
      <c r="E107" s="5" t="inlineStr">
        <is>
          <t>TECHINT - RT</t>
        </is>
      </c>
      <c r="F107" s="5" t="inlineStr">
        <is>
          <t>Indirecto</t>
        </is>
      </c>
      <c r="G107" s="4" t="n">
        <v>30</v>
      </c>
      <c r="H107" s="4" t="n">
        <v>0</v>
      </c>
      <c r="I107" s="6" t="n">
        <v>2243000</v>
      </c>
      <c r="J107" s="6" t="n">
        <v>0</v>
      </c>
      <c r="K107" s="6" t="n">
        <v>0</v>
      </c>
      <c r="L107" s="6" t="n">
        <v>0</v>
      </c>
      <c r="M107" s="6" t="n">
        <v>0</v>
      </c>
      <c r="N107" s="6" t="n">
        <v>213354</v>
      </c>
      <c r="O107" s="6" t="n">
        <v>2456354</v>
      </c>
      <c r="P107" s="6" t="n">
        <v>0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2456354</v>
      </c>
      <c r="W107" s="6" t="n">
        <v>281253</v>
      </c>
      <c r="X107" s="6" t="n">
        <v>171945</v>
      </c>
      <c r="Y107" s="6" t="n">
        <v>0</v>
      </c>
      <c r="Z107" s="6" t="n">
        <v>42009</v>
      </c>
      <c r="AA107" s="6" t="n">
        <v>495207</v>
      </c>
      <c r="AB107" s="6" t="n">
        <v>1961147</v>
      </c>
      <c r="AC107" s="6" t="n">
        <v>22844</v>
      </c>
      <c r="AD107" s="6" t="n">
        <v>39793</v>
      </c>
      <c r="AE107" s="6" t="n">
        <v>73691</v>
      </c>
      <c r="AF107" s="6" t="n">
        <v>2592682</v>
      </c>
    </row>
    <row r="108">
      <c r="A108" s="7" t="inlineStr">
        <is>
          <t>17887975-8</t>
        </is>
      </c>
      <c r="B108" s="7" t="n">
        <v>2</v>
      </c>
      <c r="C108" s="8" t="inlineStr">
        <is>
          <t>PIZARRO VEGA CRISTIAN FERNANDO</t>
        </is>
      </c>
      <c r="D108" s="8" t="inlineStr">
        <is>
          <t>ELECTROMECANICO MANTENCION</t>
        </is>
      </c>
      <c r="E108" s="8" t="inlineStr">
        <is>
          <t>TECHINT - RT</t>
        </is>
      </c>
      <c r="F108" s="8" t="inlineStr">
        <is>
          <t>Indirecto</t>
        </is>
      </c>
      <c r="G108" s="7" t="n">
        <v>14</v>
      </c>
      <c r="H108" s="7" t="n">
        <v>0</v>
      </c>
      <c r="I108" s="9" t="n">
        <v>1315000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153417</v>
      </c>
      <c r="O108" s="9" t="n">
        <v>767084</v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767084</v>
      </c>
      <c r="W108" s="9" t="n">
        <v>87831</v>
      </c>
      <c r="X108" s="9" t="n">
        <v>53696</v>
      </c>
      <c r="Y108" s="9" t="n">
        <v>0</v>
      </c>
      <c r="Z108" s="9" t="n">
        <v>0</v>
      </c>
      <c r="AA108" s="9" t="n">
        <v>141527</v>
      </c>
      <c r="AB108" s="9" t="n">
        <v>625557</v>
      </c>
      <c r="AC108" s="9" t="n">
        <v>7134</v>
      </c>
      <c r="AD108" s="9" t="n">
        <v>12427</v>
      </c>
      <c r="AE108" s="9" t="n">
        <v>23013</v>
      </c>
      <c r="AF108" s="9" t="n">
        <v>809658</v>
      </c>
    </row>
    <row r="109">
      <c r="A109" s="4" t="inlineStr">
        <is>
          <t>13327527-4</t>
        </is>
      </c>
      <c r="B109" s="4" t="n">
        <v>1</v>
      </c>
      <c r="C109" s="5" t="inlineStr">
        <is>
          <t>POBLETE GALLARDO VICTOR ANTONIO</t>
        </is>
      </c>
      <c r="D109" s="5" t="inlineStr">
        <is>
          <t>SUPERVISOR GEOSINTETICOS</t>
        </is>
      </c>
      <c r="E109" s="5" t="inlineStr">
        <is>
          <t>SERVICIO DE IMPERMEABILIZACION CELDAS RSD1 Y RSD CASERONES</t>
        </is>
      </c>
      <c r="F109" s="5" t="inlineStr">
        <is>
          <t>Indirecto</t>
        </is>
      </c>
      <c r="G109" s="4" t="n">
        <v>30</v>
      </c>
      <c r="H109" s="4" t="n">
        <v>0</v>
      </c>
      <c r="I109" s="6" t="n">
        <v>1837000</v>
      </c>
      <c r="J109" s="6" t="n">
        <v>0</v>
      </c>
      <c r="K109" s="6" t="n">
        <v>871000</v>
      </c>
      <c r="L109" s="6" t="n">
        <v>0</v>
      </c>
      <c r="M109" s="6" t="n">
        <v>0</v>
      </c>
      <c r="N109" s="6" t="n">
        <v>213354</v>
      </c>
      <c r="O109" s="6" t="n">
        <v>2921354</v>
      </c>
      <c r="P109" s="6" t="n">
        <v>0</v>
      </c>
      <c r="Q109" s="6" t="n">
        <v>10000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2931354</v>
      </c>
      <c r="W109" s="6" t="n">
        <v>334203</v>
      </c>
      <c r="X109" s="6" t="n">
        <v>304580</v>
      </c>
      <c r="Y109" s="6" t="n">
        <v>17528</v>
      </c>
      <c r="Z109" s="6" t="n">
        <v>62279</v>
      </c>
      <c r="AA109" s="6" t="n">
        <v>718590</v>
      </c>
      <c r="AB109" s="6" t="n">
        <v>2212764</v>
      </c>
      <c r="AC109" s="6" t="n">
        <v>27169</v>
      </c>
      <c r="AD109" s="6" t="n">
        <v>47326</v>
      </c>
      <c r="AE109" s="6" t="n">
        <v>70112</v>
      </c>
      <c r="AF109" s="6" t="n">
        <v>3065961</v>
      </c>
    </row>
    <row r="110">
      <c r="A110" s="7" t="inlineStr">
        <is>
          <t>24086938-1</t>
        </is>
      </c>
      <c r="B110" s="7" t="n">
        <v>2</v>
      </c>
      <c r="C110" s="8" t="inlineStr">
        <is>
          <t>POZO ROJAS LUCIANO</t>
        </is>
      </c>
      <c r="D110" s="8" t="inlineStr">
        <is>
          <t>AYUDANTE GEOSINTETICOS</t>
        </is>
      </c>
      <c r="E110" s="8" t="inlineStr">
        <is>
          <t>TECHINT - RT</t>
        </is>
      </c>
      <c r="F110" s="8" t="inlineStr">
        <is>
          <t>Directo</t>
        </is>
      </c>
      <c r="G110" s="7" t="n">
        <v>21</v>
      </c>
      <c r="H110" s="7" t="n">
        <v>0</v>
      </c>
      <c r="I110" s="9" t="n">
        <v>746000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130550</v>
      </c>
      <c r="O110" s="9" t="n">
        <v>652750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652750</v>
      </c>
      <c r="W110" s="9" t="n">
        <v>69061</v>
      </c>
      <c r="X110" s="9" t="n">
        <v>45693</v>
      </c>
      <c r="Y110" s="9" t="n">
        <v>0</v>
      </c>
      <c r="Z110" s="9" t="n">
        <v>0</v>
      </c>
      <c r="AA110" s="9" t="n">
        <v>114754</v>
      </c>
      <c r="AB110" s="9" t="n">
        <v>537996</v>
      </c>
      <c r="AC110" s="9" t="n">
        <v>6071</v>
      </c>
      <c r="AD110" s="9" t="n">
        <v>10575</v>
      </c>
      <c r="AE110" s="9" t="n">
        <v>19582</v>
      </c>
      <c r="AF110" s="9" t="n">
        <v>688978</v>
      </c>
    </row>
    <row r="111">
      <c r="A111" s="4" t="inlineStr">
        <is>
          <t>15661268-5</t>
        </is>
      </c>
      <c r="B111" s="4" t="n">
        <v>1</v>
      </c>
      <c r="C111" s="5" t="inlineStr">
        <is>
          <t>REBOLLEDO ROSALES LUIS ANDRES</t>
        </is>
      </c>
      <c r="D111" s="5" t="inlineStr">
        <is>
          <t>INGENIERO DE ESTUDIOS</t>
        </is>
      </c>
      <c r="E111" s="5" t="inlineStr">
        <is>
          <t>Dpto. Estudios</t>
        </is>
      </c>
      <c r="F111" s="5" t="inlineStr">
        <is>
          <t>Oficina</t>
        </is>
      </c>
      <c r="G111" s="4" t="n">
        <v>30</v>
      </c>
      <c r="H111" s="4" t="n">
        <v>0</v>
      </c>
      <c r="I111" s="6" t="n">
        <v>3236072</v>
      </c>
      <c r="J111" s="6" t="n">
        <v>0</v>
      </c>
      <c r="K111" s="6" t="n">
        <v>0</v>
      </c>
      <c r="L111" s="6" t="n">
        <v>0</v>
      </c>
      <c r="M111" s="6" t="n">
        <v>0</v>
      </c>
      <c r="N111" s="6" t="n">
        <v>213354</v>
      </c>
      <c r="O111" s="6" t="n">
        <v>3449426</v>
      </c>
      <c r="P111" s="6" t="n">
        <v>73500</v>
      </c>
      <c r="Q111" s="6" t="n">
        <v>10000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3532926</v>
      </c>
      <c r="W111" s="6" t="n">
        <v>388750</v>
      </c>
      <c r="X111" s="6" t="n">
        <v>364278</v>
      </c>
      <c r="Y111" s="6" t="n">
        <v>0</v>
      </c>
      <c r="Z111" s="6" t="n">
        <v>101563</v>
      </c>
      <c r="AA111" s="6" t="n">
        <v>854591</v>
      </c>
      <c r="AB111" s="6" t="n">
        <v>2678335</v>
      </c>
      <c r="AC111" s="6" t="n">
        <v>32080</v>
      </c>
      <c r="AD111" s="6" t="n">
        <v>55881</v>
      </c>
      <c r="AE111" s="6" t="n">
        <v>27595</v>
      </c>
      <c r="AF111" s="6" t="n">
        <v>3564982</v>
      </c>
    </row>
    <row r="112">
      <c r="A112" s="7" t="inlineStr">
        <is>
          <t>13076470-3</t>
        </is>
      </c>
      <c r="B112" s="7" t="n">
        <v>2</v>
      </c>
      <c r="C112" s="8" t="inlineStr">
        <is>
          <t>REHBEIN GANTES ANTONIO ALEJANDRO</t>
        </is>
      </c>
      <c r="D112" s="8" t="inlineStr">
        <is>
          <t>ADMINISTRADOR DE CONTRATOS</t>
        </is>
      </c>
      <c r="E112" s="8" t="inlineStr">
        <is>
          <t>TECHINT - RT</t>
        </is>
      </c>
      <c r="F112" s="8" t="inlineStr">
        <is>
          <t>Indirecto</t>
        </is>
      </c>
      <c r="G112" s="7" t="n">
        <v>30</v>
      </c>
      <c r="H112" s="7" t="n">
        <v>0</v>
      </c>
      <c r="I112" s="9" t="n">
        <v>3770000</v>
      </c>
      <c r="J112" s="9" t="n">
        <v>0</v>
      </c>
      <c r="K112" s="9" t="n">
        <v>1728996</v>
      </c>
      <c r="L112" s="9" t="n">
        <v>0</v>
      </c>
      <c r="M112" s="9" t="n">
        <v>0</v>
      </c>
      <c r="N112" s="9" t="n">
        <v>213354</v>
      </c>
      <c r="O112" s="9" t="n">
        <v>5712350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5712350</v>
      </c>
      <c r="W112" s="9" t="n">
        <v>418128</v>
      </c>
      <c r="X112" s="9" t="n">
        <v>255847</v>
      </c>
      <c r="Y112" s="9" t="n">
        <v>32943</v>
      </c>
      <c r="Z112" s="9" t="n">
        <v>364899</v>
      </c>
      <c r="AA112" s="9" t="n">
        <v>1071817</v>
      </c>
      <c r="AB112" s="9" t="n">
        <v>4640533</v>
      </c>
      <c r="AC112" s="9" t="n">
        <v>33991</v>
      </c>
      <c r="AD112" s="9" t="n">
        <v>59210</v>
      </c>
      <c r="AE112" s="9" t="n">
        <v>131774</v>
      </c>
      <c r="AF112" s="9" t="n">
        <v>5937325</v>
      </c>
    </row>
    <row r="113">
      <c r="A113" s="4" t="inlineStr">
        <is>
          <t>19924867-7</t>
        </is>
      </c>
      <c r="B113" s="4" t="n">
        <v>2</v>
      </c>
      <c r="C113" s="5" t="inlineStr">
        <is>
          <t>REYES CASTRO JOSE IGNACIO</t>
        </is>
      </c>
      <c r="D113" s="5" t="inlineStr">
        <is>
          <t>TECNICO INSPECCION Y DETECCION DE FUGAS</t>
        </is>
      </c>
      <c r="E113" s="5" t="inlineStr">
        <is>
          <t>TECHINT - RT</t>
        </is>
      </c>
      <c r="F113" s="5" t="inlineStr">
        <is>
          <t>Directo</t>
        </is>
      </c>
      <c r="G113" s="4" t="n">
        <v>30</v>
      </c>
      <c r="H113" s="4" t="n">
        <v>0</v>
      </c>
      <c r="I113" s="6" t="n">
        <v>1315000</v>
      </c>
      <c r="J113" s="6" t="n">
        <v>0</v>
      </c>
      <c r="K113" s="6" t="n">
        <v>225000</v>
      </c>
      <c r="L113" s="6" t="n">
        <v>0</v>
      </c>
      <c r="M113" s="6" t="n">
        <v>0</v>
      </c>
      <c r="N113" s="6" t="n">
        <v>213354</v>
      </c>
      <c r="O113" s="6" t="n">
        <v>1753354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1753354</v>
      </c>
      <c r="W113" s="6" t="n">
        <v>183401</v>
      </c>
      <c r="X113" s="6" t="n">
        <v>122735</v>
      </c>
      <c r="Y113" s="6" t="n">
        <v>0</v>
      </c>
      <c r="Z113" s="6" t="n">
        <v>19771</v>
      </c>
      <c r="AA113" s="6" t="n">
        <v>325907</v>
      </c>
      <c r="AB113" s="6" t="n">
        <v>1427447</v>
      </c>
      <c r="AC113" s="6" t="n">
        <v>16306</v>
      </c>
      <c r="AD113" s="6" t="n">
        <v>28404</v>
      </c>
      <c r="AE113" s="6" t="n">
        <v>52601</v>
      </c>
      <c r="AF113" s="6" t="n">
        <v>1850665</v>
      </c>
    </row>
    <row r="114">
      <c r="A114" s="7" t="inlineStr">
        <is>
          <t>19967782-9</t>
        </is>
      </c>
      <c r="B114" s="7" t="n">
        <v>2</v>
      </c>
      <c r="C114" s="8" t="inlineStr">
        <is>
          <t>RIVERA ARAYA IGNACIO ANDRES</t>
        </is>
      </c>
      <c r="D114" s="8" t="inlineStr">
        <is>
          <t>AYUDANTE GEOSINTETICOS</t>
        </is>
      </c>
      <c r="E114" s="8" t="inlineStr">
        <is>
          <t>TECHINT - RT</t>
        </is>
      </c>
      <c r="F114" s="8" t="inlineStr">
        <is>
          <t>Directo</t>
        </is>
      </c>
      <c r="G114" s="7" t="n">
        <v>21</v>
      </c>
      <c r="H114" s="7" t="n">
        <v>0</v>
      </c>
      <c r="I114" s="9" t="n">
        <v>746000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130550</v>
      </c>
      <c r="O114" s="9" t="n">
        <v>652750</v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652750</v>
      </c>
      <c r="W114" s="9" t="n">
        <v>72847</v>
      </c>
      <c r="X114" s="9" t="n">
        <v>45693</v>
      </c>
      <c r="Y114" s="9" t="n">
        <v>0</v>
      </c>
      <c r="Z114" s="9" t="n">
        <v>0</v>
      </c>
      <c r="AA114" s="9" t="n">
        <v>118540</v>
      </c>
      <c r="AB114" s="9" t="n">
        <v>534210</v>
      </c>
      <c r="AC114" s="9" t="n">
        <v>6071</v>
      </c>
      <c r="AD114" s="9" t="n">
        <v>10575</v>
      </c>
      <c r="AE114" s="9" t="n">
        <v>19582</v>
      </c>
      <c r="AF114" s="9" t="n">
        <v>688978</v>
      </c>
    </row>
    <row r="115">
      <c r="A115" s="4" t="inlineStr">
        <is>
          <t>18968220-4</t>
        </is>
      </c>
      <c r="B115" s="4" t="n">
        <v>2</v>
      </c>
      <c r="C115" s="5" t="inlineStr">
        <is>
          <t>RIVERA JULIO FRANCISCO ALEJANDRO</t>
        </is>
      </c>
      <c r="D115" s="5" t="inlineStr">
        <is>
          <t>AYUDANTE GEOSINTETICOS</t>
        </is>
      </c>
      <c r="E115" s="5" t="inlineStr">
        <is>
          <t>TECHINT - RT</t>
        </is>
      </c>
      <c r="F115" s="5" t="inlineStr">
        <is>
          <t>Directo</t>
        </is>
      </c>
      <c r="G115" s="4" t="n">
        <v>18</v>
      </c>
      <c r="H115" s="4" t="n">
        <v>0</v>
      </c>
      <c r="I115" s="6" t="n">
        <v>746000</v>
      </c>
      <c r="J115" s="6" t="n">
        <v>0</v>
      </c>
      <c r="K115" s="6" t="n">
        <v>0</v>
      </c>
      <c r="L115" s="6" t="n">
        <v>0</v>
      </c>
      <c r="M115" s="6" t="n">
        <v>0</v>
      </c>
      <c r="N115" s="6" t="n">
        <v>111900</v>
      </c>
      <c r="O115" s="6" t="n">
        <v>559500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559500</v>
      </c>
      <c r="W115" s="6" t="n">
        <v>59195</v>
      </c>
      <c r="X115" s="6" t="n">
        <v>39165</v>
      </c>
      <c r="Y115" s="6" t="n">
        <v>0</v>
      </c>
      <c r="Z115" s="6" t="n">
        <v>0</v>
      </c>
      <c r="AA115" s="6" t="n">
        <v>98360</v>
      </c>
      <c r="AB115" s="6" t="n">
        <v>461140</v>
      </c>
      <c r="AC115" s="6" t="n">
        <v>5203</v>
      </c>
      <c r="AD115" s="6" t="n">
        <v>9064</v>
      </c>
      <c r="AE115" s="6" t="n">
        <v>16785</v>
      </c>
      <c r="AF115" s="6" t="n">
        <v>590552</v>
      </c>
    </row>
    <row r="116">
      <c r="A116" s="7" t="inlineStr">
        <is>
          <t>15036703-4</t>
        </is>
      </c>
      <c r="B116" s="7" t="n">
        <v>2</v>
      </c>
      <c r="C116" s="8" t="inlineStr">
        <is>
          <t>RIVERA ROJAS JORGE NIBALDO</t>
        </is>
      </c>
      <c r="D116" s="8" t="inlineStr">
        <is>
          <t>JEFE DE TERRENO</t>
        </is>
      </c>
      <c r="E116" s="8" t="inlineStr">
        <is>
          <t>TECHINT - RT</t>
        </is>
      </c>
      <c r="F116" s="8" t="inlineStr">
        <is>
          <t>Indirecto</t>
        </is>
      </c>
      <c r="G116" s="7" t="n">
        <v>30</v>
      </c>
      <c r="H116" s="7" t="n">
        <v>0</v>
      </c>
      <c r="I116" s="9" t="n">
        <v>3590000</v>
      </c>
      <c r="J116" s="9" t="n">
        <v>0</v>
      </c>
      <c r="K116" s="9" t="n">
        <v>717998</v>
      </c>
      <c r="L116" s="9" t="n">
        <v>0</v>
      </c>
      <c r="M116" s="9" t="n">
        <v>0</v>
      </c>
      <c r="N116" s="9" t="n">
        <v>213354</v>
      </c>
      <c r="O116" s="9" t="n">
        <v>4521352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4532352</v>
      </c>
      <c r="W116" s="9" t="n">
        <v>411914</v>
      </c>
      <c r="X116" s="9" t="n">
        <v>296133</v>
      </c>
      <c r="Y116" s="9" t="n">
        <v>0</v>
      </c>
      <c r="Z116" s="9" t="n">
        <v>203295</v>
      </c>
      <c r="AA116" s="9" t="n">
        <v>911342</v>
      </c>
      <c r="AB116" s="9" t="n">
        <v>3621010</v>
      </c>
      <c r="AC116" s="9" t="n">
        <v>33991</v>
      </c>
      <c r="AD116" s="9" t="n">
        <v>59210</v>
      </c>
      <c r="AE116" s="9" t="n">
        <v>135641</v>
      </c>
      <c r="AF116" s="9" t="n">
        <v>4750194</v>
      </c>
    </row>
    <row r="117">
      <c r="A117" s="4" t="inlineStr">
        <is>
          <t>15441205-0</t>
        </is>
      </c>
      <c r="B117" s="4" t="n">
        <v>1</v>
      </c>
      <c r="C117" s="5" t="inlineStr">
        <is>
          <t>ROBLES CUEVAS RONALD ROLF</t>
        </is>
      </c>
      <c r="D117" s="5" t="inlineStr">
        <is>
          <t>TECNICO CONTROL CALIDAD</t>
        </is>
      </c>
      <c r="E117" s="5" t="inlineStr">
        <is>
          <t>SERVICIO DE IMPERMEABILIZACION CELDAS RSD1 Y RSD CASERONES</t>
        </is>
      </c>
      <c r="F117" s="5" t="inlineStr">
        <is>
          <t>Directo</t>
        </is>
      </c>
      <c r="G117" s="4" t="n">
        <v>11</v>
      </c>
      <c r="H117" s="4" t="n">
        <v>0</v>
      </c>
      <c r="I117" s="6" t="n">
        <v>1468000</v>
      </c>
      <c r="J117" s="6" t="n">
        <v>0</v>
      </c>
      <c r="K117" s="6" t="n">
        <v>190000</v>
      </c>
      <c r="L117" s="6" t="n">
        <v>0</v>
      </c>
      <c r="M117" s="6" t="n">
        <v>0</v>
      </c>
      <c r="N117" s="6" t="n">
        <v>182067</v>
      </c>
      <c r="O117" s="6" t="n">
        <v>910334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910334</v>
      </c>
      <c r="W117" s="6" t="n">
        <v>104233</v>
      </c>
      <c r="X117" s="6" t="n">
        <v>63723</v>
      </c>
      <c r="Y117" s="6" t="n">
        <v>0</v>
      </c>
      <c r="Z117" s="6" t="n">
        <v>0</v>
      </c>
      <c r="AA117" s="6" t="n">
        <v>167956</v>
      </c>
      <c r="AB117" s="6" t="n">
        <v>742378</v>
      </c>
      <c r="AC117" s="6" t="n">
        <v>8466</v>
      </c>
      <c r="AD117" s="6" t="n">
        <v>14747</v>
      </c>
      <c r="AE117" s="6" t="n">
        <v>27310</v>
      </c>
      <c r="AF117" s="6" t="n">
        <v>960857</v>
      </c>
    </row>
    <row r="118">
      <c r="A118" s="7" t="inlineStr">
        <is>
          <t>15441205-0</t>
        </is>
      </c>
      <c r="B118" s="7" t="n">
        <v>2</v>
      </c>
      <c r="C118" s="8" t="inlineStr">
        <is>
          <t>ROBLES CUEVAS RONALD ROLF</t>
        </is>
      </c>
      <c r="D118" s="8" t="inlineStr">
        <is>
          <t>TECNICO CONTROL CALIDAD</t>
        </is>
      </c>
      <c r="E118" s="8" t="inlineStr">
        <is>
          <t>TECHINT - RT</t>
        </is>
      </c>
      <c r="F118" s="8" t="inlineStr">
        <is>
          <t>Directo</t>
        </is>
      </c>
      <c r="G118" s="7" t="n">
        <v>14</v>
      </c>
      <c r="H118" s="7" t="n">
        <v>0</v>
      </c>
      <c r="I118" s="9" t="n">
        <v>1315000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153417</v>
      </c>
      <c r="O118" s="9" t="n">
        <v>767084</v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767084</v>
      </c>
      <c r="W118" s="9" t="n">
        <v>87831</v>
      </c>
      <c r="X118" s="9" t="n">
        <v>53696</v>
      </c>
      <c r="Y118" s="9" t="n">
        <v>0</v>
      </c>
      <c r="Z118" s="9" t="n">
        <v>16600</v>
      </c>
      <c r="AA118" s="9" t="n">
        <v>158127</v>
      </c>
      <c r="AB118" s="9" t="n">
        <v>608957</v>
      </c>
      <c r="AC118" s="9" t="n">
        <v>7134</v>
      </c>
      <c r="AD118" s="9" t="n">
        <v>12427</v>
      </c>
      <c r="AE118" s="9" t="n">
        <v>23013</v>
      </c>
      <c r="AF118" s="9" t="n">
        <v>809658</v>
      </c>
    </row>
    <row r="119">
      <c r="A119" s="4" t="inlineStr">
        <is>
          <t>20308051-4</t>
        </is>
      </c>
      <c r="B119" s="4" t="n">
        <v>3</v>
      </c>
      <c r="C119" s="5" t="inlineStr">
        <is>
          <t>RODRIGUEZ CORTES KEVIN ALEJANDRO</t>
        </is>
      </c>
      <c r="D119" s="5" t="inlineStr">
        <is>
          <t>TECNICO CONTROL CALIDAD</t>
        </is>
      </c>
      <c r="E119" s="5" t="inlineStr">
        <is>
          <t>TECHINT - RT</t>
        </is>
      </c>
      <c r="F119" s="5" t="inlineStr">
        <is>
          <t>Directo</t>
        </is>
      </c>
      <c r="G119" s="4" t="n">
        <v>30</v>
      </c>
      <c r="H119" s="4" t="n">
        <v>0</v>
      </c>
      <c r="I119" s="6" t="n">
        <v>1315000</v>
      </c>
      <c r="J119" s="6" t="n">
        <v>0</v>
      </c>
      <c r="K119" s="6" t="n">
        <v>0</v>
      </c>
      <c r="L119" s="6" t="n">
        <v>0</v>
      </c>
      <c r="M119" s="6" t="n">
        <v>0</v>
      </c>
      <c r="N119" s="6" t="n">
        <v>213354</v>
      </c>
      <c r="O119" s="6" t="n">
        <v>1528354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1528354</v>
      </c>
      <c r="W119" s="6" t="n">
        <v>159866</v>
      </c>
      <c r="X119" s="6" t="n">
        <v>106985</v>
      </c>
      <c r="Y119" s="6" t="n">
        <v>0</v>
      </c>
      <c r="Z119" s="6" t="n">
        <v>12343</v>
      </c>
      <c r="AA119" s="6" t="n">
        <v>279194</v>
      </c>
      <c r="AB119" s="6" t="n">
        <v>1249160</v>
      </c>
      <c r="AC119" s="6" t="n">
        <v>14214</v>
      </c>
      <c r="AD119" s="6" t="n">
        <v>24759</v>
      </c>
      <c r="AE119" s="6" t="n">
        <v>45851</v>
      </c>
      <c r="AF119" s="6" t="n">
        <v>1613178</v>
      </c>
    </row>
    <row r="120">
      <c r="A120" s="7" t="inlineStr">
        <is>
          <t>20600125-9</t>
        </is>
      </c>
      <c r="B120" s="7" t="n">
        <v>4</v>
      </c>
      <c r="C120" s="8" t="inlineStr">
        <is>
          <t>RODRIGUEZ OLATE FELIPE ANDRES</t>
        </is>
      </c>
      <c r="D120" s="8" t="inlineStr">
        <is>
          <t>MAESTRO PRIMERA GEOSINTETICOS</t>
        </is>
      </c>
      <c r="E120" s="8" t="inlineStr">
        <is>
          <t>SERVICIO DE IMPERMEABILIZACION CELDAS RSD1 Y RSD CASERONES</t>
        </is>
      </c>
      <c r="F120" s="8" t="inlineStr">
        <is>
          <t>Directo</t>
        </is>
      </c>
      <c r="G120" s="7" t="n">
        <v>5</v>
      </c>
      <c r="H120" s="7" t="n">
        <v>0</v>
      </c>
      <c r="I120" s="9" t="n">
        <v>1468000</v>
      </c>
      <c r="J120" s="9" t="n">
        <v>0</v>
      </c>
      <c r="K120" s="9" t="n">
        <v>200000</v>
      </c>
      <c r="L120" s="9" t="n">
        <v>0</v>
      </c>
      <c r="M120" s="9" t="n">
        <v>0</v>
      </c>
      <c r="N120" s="9" t="n">
        <v>111167</v>
      </c>
      <c r="O120" s="9" t="n">
        <v>555834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555834</v>
      </c>
      <c r="W120" s="9" t="n">
        <v>58140</v>
      </c>
      <c r="X120" s="9" t="n">
        <v>38908</v>
      </c>
      <c r="Y120" s="9" t="n">
        <v>0</v>
      </c>
      <c r="Z120" s="9" t="n">
        <v>0</v>
      </c>
      <c r="AA120" s="9" t="n">
        <v>97048</v>
      </c>
      <c r="AB120" s="9" t="n">
        <v>458786</v>
      </c>
      <c r="AC120" s="9" t="n">
        <v>5169</v>
      </c>
      <c r="AD120" s="9" t="n">
        <v>9005</v>
      </c>
      <c r="AE120" s="9" t="n">
        <v>16675</v>
      </c>
      <c r="AF120" s="9" t="n">
        <v>586683</v>
      </c>
    </row>
    <row r="121">
      <c r="A121" s="4" t="inlineStr">
        <is>
          <t>21624367-6</t>
        </is>
      </c>
      <c r="B121" s="4" t="n">
        <v>3</v>
      </c>
      <c r="C121" s="5" t="inlineStr">
        <is>
          <t>ROJAS ARAYA CARLOS HELENBER</t>
        </is>
      </c>
      <c r="D121" s="5" t="inlineStr">
        <is>
          <t>AYUDANTE GEOSINTETICOS</t>
        </is>
      </c>
      <c r="E121" s="5" t="inlineStr">
        <is>
          <t>TECHINT - RT</t>
        </is>
      </c>
      <c r="F121" s="5" t="inlineStr">
        <is>
          <t>Directo</t>
        </is>
      </c>
      <c r="G121" s="4" t="n">
        <v>17</v>
      </c>
      <c r="H121" s="4" t="n">
        <v>0</v>
      </c>
      <c r="I121" s="6" t="n">
        <v>746000</v>
      </c>
      <c r="J121" s="6" t="n">
        <v>0</v>
      </c>
      <c r="K121" s="6" t="n">
        <v>0</v>
      </c>
      <c r="L121" s="6" t="n">
        <v>0</v>
      </c>
      <c r="M121" s="6" t="n">
        <v>0</v>
      </c>
      <c r="N121" s="6" t="n">
        <v>105683</v>
      </c>
      <c r="O121" s="6" t="n">
        <v>528416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528416</v>
      </c>
      <c r="W121" s="6" t="n">
        <v>55906</v>
      </c>
      <c r="X121" s="6" t="n">
        <v>36989</v>
      </c>
      <c r="Y121" s="6" t="n">
        <v>0</v>
      </c>
      <c r="Z121" s="6" t="n">
        <v>0</v>
      </c>
      <c r="AA121" s="6" t="n">
        <v>92895</v>
      </c>
      <c r="AB121" s="6" t="n">
        <v>435521</v>
      </c>
      <c r="AC121" s="6" t="n">
        <v>4914</v>
      </c>
      <c r="AD121" s="6" t="n">
        <v>8560</v>
      </c>
      <c r="AE121" s="6" t="n">
        <v>15852</v>
      </c>
      <c r="AF121" s="6" t="n">
        <v>557742</v>
      </c>
    </row>
    <row r="122">
      <c r="A122" s="7" t="inlineStr">
        <is>
          <t>19445770-7</t>
        </is>
      </c>
      <c r="B122" s="7" t="n">
        <v>1</v>
      </c>
      <c r="C122" s="8" t="inlineStr">
        <is>
          <t>ROJAS POBLETE KATIUSCA AYLEN</t>
        </is>
      </c>
      <c r="D122" s="8" t="inlineStr">
        <is>
          <t>GENERALISTA GESTION PERSONAS</t>
        </is>
      </c>
      <c r="E122" s="8" t="inlineStr">
        <is>
          <t>Oficina Antofagasta</t>
        </is>
      </c>
      <c r="F122" s="8" t="inlineStr">
        <is>
          <t>Oficina</t>
        </is>
      </c>
      <c r="G122" s="7" t="n">
        <v>30</v>
      </c>
      <c r="H122" s="7" t="n">
        <v>0</v>
      </c>
      <c r="I122" s="9" t="n">
        <v>1676441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213354</v>
      </c>
      <c r="O122" s="9" t="n">
        <v>1889795</v>
      </c>
      <c r="P122" s="9" t="n">
        <v>0</v>
      </c>
      <c r="Q122" s="9" t="n">
        <v>10000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1961795</v>
      </c>
      <c r="W122" s="9" t="n">
        <v>216382</v>
      </c>
      <c r="X122" s="9" t="n">
        <v>132286</v>
      </c>
      <c r="Y122" s="9" t="n">
        <v>11339</v>
      </c>
      <c r="Z122" s="9" t="n">
        <v>23074</v>
      </c>
      <c r="AA122" s="9" t="n">
        <v>383081</v>
      </c>
      <c r="AB122" s="9" t="n">
        <v>1578714</v>
      </c>
      <c r="AC122" s="9" t="n">
        <v>17575</v>
      </c>
      <c r="AD122" s="9" t="n">
        <v>30615</v>
      </c>
      <c r="AE122" s="9" t="n">
        <v>45355</v>
      </c>
      <c r="AF122" s="9" t="n">
        <v>1983340</v>
      </c>
    </row>
    <row r="123">
      <c r="A123" s="4" t="inlineStr">
        <is>
          <t>18318148-3</t>
        </is>
      </c>
      <c r="B123" s="4" t="n">
        <v>3</v>
      </c>
      <c r="C123" s="5" t="inlineStr">
        <is>
          <t>ROJAS ROJAS ALVARO SEBASTIAN</t>
        </is>
      </c>
      <c r="D123" s="5" t="inlineStr">
        <is>
          <t>CAPATAZ GEOSINTETICOS</t>
        </is>
      </c>
      <c r="E123" s="5" t="inlineStr">
        <is>
          <t>SERVICIO DE IMPERMEABILIZACION CELDAS RSD1 Y RSD CASERONES</t>
        </is>
      </c>
      <c r="F123" s="5" t="inlineStr">
        <is>
          <t>Directo</t>
        </is>
      </c>
      <c r="G123" s="4" t="n">
        <v>10</v>
      </c>
      <c r="H123" s="4" t="n">
        <v>0</v>
      </c>
      <c r="I123" s="6" t="n">
        <v>1600000</v>
      </c>
      <c r="J123" s="6" t="n">
        <v>0</v>
      </c>
      <c r="K123" s="6" t="n">
        <v>0</v>
      </c>
      <c r="L123" s="6" t="n">
        <v>0</v>
      </c>
      <c r="M123" s="6" t="n">
        <v>0</v>
      </c>
      <c r="N123" s="6" t="n">
        <v>133333</v>
      </c>
      <c r="O123" s="6" t="n">
        <v>666666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0</v>
      </c>
      <c r="V123" s="6" t="n">
        <v>666666</v>
      </c>
      <c r="W123" s="6" t="n">
        <v>70533</v>
      </c>
      <c r="X123" s="6" t="n">
        <v>46667</v>
      </c>
      <c r="Y123" s="6" t="n">
        <v>0</v>
      </c>
      <c r="Z123" s="6" t="n">
        <v>0</v>
      </c>
      <c r="AA123" s="6" t="n">
        <v>117200</v>
      </c>
      <c r="AB123" s="6" t="n">
        <v>549466</v>
      </c>
      <c r="AC123" s="6" t="n">
        <v>6200</v>
      </c>
      <c r="AD123" s="6" t="n">
        <v>10800</v>
      </c>
      <c r="AE123" s="6" t="n">
        <v>20000</v>
      </c>
      <c r="AF123" s="6" t="n">
        <v>703666</v>
      </c>
    </row>
    <row r="124">
      <c r="A124" s="7" t="inlineStr">
        <is>
          <t>18318148-3</t>
        </is>
      </c>
      <c r="B124" s="7" t="n">
        <v>4</v>
      </c>
      <c r="C124" s="8" t="inlineStr">
        <is>
          <t>ROJAS ROJAS ALVARO SEBASTIAN</t>
        </is>
      </c>
      <c r="D124" s="8" t="inlineStr">
        <is>
          <t>CAPATAZ GEOSINTETICOS</t>
        </is>
      </c>
      <c r="E124" s="8" t="inlineStr">
        <is>
          <t>TECHINT - RT</t>
        </is>
      </c>
      <c r="F124" s="8" t="inlineStr">
        <is>
          <t>Directo</t>
        </is>
      </c>
      <c r="G124" s="7" t="n">
        <v>21</v>
      </c>
      <c r="H124" s="7" t="n">
        <v>0</v>
      </c>
      <c r="I124" s="9" t="n">
        <v>1550000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213354</v>
      </c>
      <c r="O124" s="9" t="n">
        <v>1298354</v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1298354</v>
      </c>
      <c r="W124" s="9" t="n">
        <v>137366</v>
      </c>
      <c r="X124" s="9" t="n">
        <v>90885</v>
      </c>
      <c r="Y124" s="9" t="n">
        <v>0</v>
      </c>
      <c r="Z124" s="9" t="n">
        <v>26665</v>
      </c>
      <c r="AA124" s="9" t="n">
        <v>254916</v>
      </c>
      <c r="AB124" s="9" t="n">
        <v>1043438</v>
      </c>
      <c r="AC124" s="9" t="n">
        <v>12075</v>
      </c>
      <c r="AD124" s="9" t="n">
        <v>21033</v>
      </c>
      <c r="AE124" s="9" t="n">
        <v>38951</v>
      </c>
      <c r="AF124" s="9" t="n">
        <v>1370413</v>
      </c>
    </row>
    <row r="125">
      <c r="A125" s="4" t="inlineStr">
        <is>
          <t>18317023-6</t>
        </is>
      </c>
      <c r="B125" s="4" t="n">
        <v>4</v>
      </c>
      <c r="C125" s="5" t="inlineStr">
        <is>
          <t>ROJAS ZEPEDA FELIPE ALEJANDRO</t>
        </is>
      </c>
      <c r="D125" s="5" t="inlineStr">
        <is>
          <t>AYUDANTE GEOSINTETICOS</t>
        </is>
      </c>
      <c r="E125" s="5" t="inlineStr">
        <is>
          <t>TECHINT - RT</t>
        </is>
      </c>
      <c r="F125" s="5" t="inlineStr">
        <is>
          <t>Directo</t>
        </is>
      </c>
      <c r="G125" s="4" t="n">
        <v>30</v>
      </c>
      <c r="H125" s="4" t="n">
        <v>0</v>
      </c>
      <c r="I125" s="6" t="n">
        <v>746000</v>
      </c>
      <c r="J125" s="6" t="n">
        <v>0</v>
      </c>
      <c r="K125" s="6" t="n">
        <v>225000</v>
      </c>
      <c r="L125" s="6" t="n">
        <v>0</v>
      </c>
      <c r="M125" s="6" t="n">
        <v>0</v>
      </c>
      <c r="N125" s="6" t="n">
        <v>213354</v>
      </c>
      <c r="O125" s="6" t="n">
        <v>1184354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0</v>
      </c>
      <c r="U125" s="6" t="n">
        <v>0</v>
      </c>
      <c r="V125" s="6" t="n">
        <v>1184354</v>
      </c>
      <c r="W125" s="6" t="n">
        <v>135609</v>
      </c>
      <c r="X125" s="6" t="n">
        <v>82905</v>
      </c>
      <c r="Y125" s="6" t="n">
        <v>0</v>
      </c>
      <c r="Z125" s="6" t="n">
        <v>516</v>
      </c>
      <c r="AA125" s="6" t="n">
        <v>219030</v>
      </c>
      <c r="AB125" s="6" t="n">
        <v>965324</v>
      </c>
      <c r="AC125" s="6" t="n">
        <v>11014</v>
      </c>
      <c r="AD125" s="6" t="n">
        <v>19187</v>
      </c>
      <c r="AE125" s="6" t="n">
        <v>35531</v>
      </c>
      <c r="AF125" s="6" t="n">
        <v>1250086</v>
      </c>
    </row>
    <row r="126">
      <c r="A126" s="7" t="inlineStr">
        <is>
          <t>20400413-7</t>
        </is>
      </c>
      <c r="B126" s="7" t="n">
        <v>3</v>
      </c>
      <c r="C126" s="8" t="inlineStr">
        <is>
          <t>ROJO PIZARRO DENIS ALEJANDRO</t>
        </is>
      </c>
      <c r="D126" s="8" t="inlineStr">
        <is>
          <t>AYUDANTE GEOSINTETICOS</t>
        </is>
      </c>
      <c r="E126" s="8" t="inlineStr">
        <is>
          <t>SERVICIO DE IMPERMEABILIZACION CELDAS RSD1 Y RSD CASERONES</t>
        </is>
      </c>
      <c r="F126" s="8" t="inlineStr">
        <is>
          <t>Directo</t>
        </is>
      </c>
      <c r="G126" s="7" t="n">
        <v>11</v>
      </c>
      <c r="H126" s="7" t="n">
        <v>0</v>
      </c>
      <c r="I126" s="9" t="n">
        <v>834000</v>
      </c>
      <c r="J126" s="9" t="n">
        <v>0</v>
      </c>
      <c r="K126" s="9" t="n">
        <v>140000</v>
      </c>
      <c r="L126" s="9" t="n">
        <v>0</v>
      </c>
      <c r="M126" s="9" t="n">
        <v>0</v>
      </c>
      <c r="N126" s="9" t="n">
        <v>111450</v>
      </c>
      <c r="O126" s="9" t="n">
        <v>557250</v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557250</v>
      </c>
      <c r="W126" s="9" t="n">
        <v>58288</v>
      </c>
      <c r="X126" s="9" t="n">
        <v>39008</v>
      </c>
      <c r="Y126" s="9" t="n">
        <v>0</v>
      </c>
      <c r="Z126" s="9" t="n">
        <v>0</v>
      </c>
      <c r="AA126" s="9" t="n">
        <v>97296</v>
      </c>
      <c r="AB126" s="9" t="n">
        <v>459954</v>
      </c>
      <c r="AC126" s="9" t="n">
        <v>5182</v>
      </c>
      <c r="AD126" s="9" t="n">
        <v>9027</v>
      </c>
      <c r="AE126" s="9" t="n">
        <v>16718</v>
      </c>
      <c r="AF126" s="9" t="n">
        <v>588177</v>
      </c>
    </row>
    <row r="127">
      <c r="A127" s="4" t="inlineStr">
        <is>
          <t>20400413-7</t>
        </is>
      </c>
      <c r="B127" s="4" t="n">
        <v>4</v>
      </c>
      <c r="C127" s="5" t="inlineStr">
        <is>
          <t>ROJO PIZARRO DENIS ALEJANDRO</t>
        </is>
      </c>
      <c r="D127" s="5" t="inlineStr">
        <is>
          <t>AYUDANTE GEOSINTETICOS</t>
        </is>
      </c>
      <c r="E127" s="5" t="inlineStr">
        <is>
          <t>TECHINT - RT</t>
        </is>
      </c>
      <c r="F127" s="5" t="inlineStr">
        <is>
          <t>Directo</t>
        </is>
      </c>
      <c r="G127" s="4" t="n">
        <v>17</v>
      </c>
      <c r="H127" s="4" t="n">
        <v>0</v>
      </c>
      <c r="I127" s="6" t="n">
        <v>746000</v>
      </c>
      <c r="J127" s="6" t="n">
        <v>0</v>
      </c>
      <c r="K127" s="6" t="n">
        <v>0</v>
      </c>
      <c r="L127" s="6" t="n">
        <v>0</v>
      </c>
      <c r="M127" s="6" t="n">
        <v>0</v>
      </c>
      <c r="N127" s="6" t="n">
        <v>105683</v>
      </c>
      <c r="O127" s="6" t="n">
        <v>528416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0</v>
      </c>
      <c r="V127" s="6" t="n">
        <v>528416</v>
      </c>
      <c r="W127" s="6" t="n">
        <v>55272</v>
      </c>
      <c r="X127" s="6" t="n">
        <v>36989</v>
      </c>
      <c r="Y127" s="6" t="n">
        <v>0</v>
      </c>
      <c r="Z127" s="6" t="n">
        <v>0</v>
      </c>
      <c r="AA127" s="6" t="n">
        <v>92261</v>
      </c>
      <c r="AB127" s="6" t="n">
        <v>436155</v>
      </c>
      <c r="AC127" s="6" t="n">
        <v>4914</v>
      </c>
      <c r="AD127" s="6" t="n">
        <v>8560</v>
      </c>
      <c r="AE127" s="6" t="n">
        <v>15852</v>
      </c>
      <c r="AF127" s="6" t="n">
        <v>557742</v>
      </c>
    </row>
    <row r="128">
      <c r="A128" s="7" t="inlineStr">
        <is>
          <t>19206550-K</t>
        </is>
      </c>
      <c r="B128" s="7" t="n">
        <v>2</v>
      </c>
      <c r="C128" s="8" t="inlineStr">
        <is>
          <t>SALVATIERRA ALCAINO NICOLAS IGNACIO</t>
        </is>
      </c>
      <c r="D128" s="8" t="inlineStr">
        <is>
          <t>JEFE OFICINA TECNICA</t>
        </is>
      </c>
      <c r="E128" s="8" t="inlineStr">
        <is>
          <t>SERVICIO DE IMPERMEABILIZACION CELDAS RSD1 Y RSD CASERONES</t>
        </is>
      </c>
      <c r="F128" s="8" t="inlineStr">
        <is>
          <t>Indirecto</t>
        </is>
      </c>
      <c r="G128" s="7" t="n">
        <v>30</v>
      </c>
      <c r="H128" s="7" t="n">
        <v>0</v>
      </c>
      <c r="I128" s="9" t="n">
        <v>3336000</v>
      </c>
      <c r="J128" s="9" t="n">
        <v>0</v>
      </c>
      <c r="K128" s="9" t="n">
        <v>75000</v>
      </c>
      <c r="L128" s="9" t="n">
        <v>0</v>
      </c>
      <c r="M128" s="9" t="n">
        <v>0</v>
      </c>
      <c r="N128" s="9" t="n">
        <v>213354</v>
      </c>
      <c r="O128" s="9" t="n">
        <v>3624354</v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3624354</v>
      </c>
      <c r="W128" s="9" t="n">
        <v>379107</v>
      </c>
      <c r="X128" s="9" t="n">
        <v>253705</v>
      </c>
      <c r="Y128" s="9" t="n">
        <v>0</v>
      </c>
      <c r="Z128" s="9" t="n">
        <v>116500</v>
      </c>
      <c r="AA128" s="9" t="n">
        <v>749312</v>
      </c>
      <c r="AB128" s="9" t="n">
        <v>2875042</v>
      </c>
      <c r="AC128" s="9" t="n">
        <v>33706</v>
      </c>
      <c r="AD128" s="9" t="n">
        <v>58715</v>
      </c>
      <c r="AE128" s="9" t="n">
        <v>108731</v>
      </c>
      <c r="AF128" s="9" t="n">
        <v>3825506</v>
      </c>
    </row>
    <row r="129">
      <c r="A129" s="4" t="inlineStr">
        <is>
          <t>12943659-K</t>
        </is>
      </c>
      <c r="B129" s="4" t="n">
        <v>1</v>
      </c>
      <c r="C129" s="5" t="inlineStr">
        <is>
          <t>SANTANDER SANTANDER CARLOS LUIS</t>
        </is>
      </c>
      <c r="D129" s="5" t="inlineStr">
        <is>
          <t>SUPERVISOR GEOSINTETICOS</t>
        </is>
      </c>
      <c r="E129" s="5" t="inlineStr">
        <is>
          <t>TECHINT - RT</t>
        </is>
      </c>
      <c r="F129" s="5" t="inlineStr">
        <is>
          <t>Indirecto</t>
        </is>
      </c>
      <c r="G129" s="4" t="n">
        <v>30</v>
      </c>
      <c r="H129" s="4" t="n">
        <v>0</v>
      </c>
      <c r="I129" s="6" t="n">
        <v>1713000</v>
      </c>
      <c r="J129" s="6" t="n">
        <v>0</v>
      </c>
      <c r="K129" s="6" t="n">
        <v>860000</v>
      </c>
      <c r="L129" s="6" t="n">
        <v>0</v>
      </c>
      <c r="M129" s="6" t="n">
        <v>0</v>
      </c>
      <c r="N129" s="6" t="n">
        <v>213354</v>
      </c>
      <c r="O129" s="6" t="n">
        <v>2786354</v>
      </c>
      <c r="P129" s="6" t="n">
        <v>0</v>
      </c>
      <c r="Q129" s="6" t="n">
        <v>0</v>
      </c>
      <c r="R129" s="6" t="n">
        <v>77281</v>
      </c>
      <c r="S129" s="6" t="n">
        <v>0</v>
      </c>
      <c r="T129" s="6" t="n">
        <v>0</v>
      </c>
      <c r="U129" s="6" t="n">
        <v>0</v>
      </c>
      <c r="V129" s="6" t="n">
        <v>2863635</v>
      </c>
      <c r="W129" s="6" t="n">
        <v>318759</v>
      </c>
      <c r="X129" s="6" t="n">
        <v>195045</v>
      </c>
      <c r="Y129" s="6" t="n">
        <v>16718</v>
      </c>
      <c r="Z129" s="6" t="n">
        <v>57643</v>
      </c>
      <c r="AA129" s="6" t="n">
        <v>588165</v>
      </c>
      <c r="AB129" s="6" t="n">
        <v>2275470</v>
      </c>
      <c r="AC129" s="6" t="n">
        <v>25913</v>
      </c>
      <c r="AD129" s="6" t="n">
        <v>45139</v>
      </c>
      <c r="AE129" s="6" t="n">
        <v>66872</v>
      </c>
      <c r="AF129" s="6" t="n">
        <v>2924278</v>
      </c>
    </row>
    <row r="130">
      <c r="A130" s="7" t="inlineStr">
        <is>
          <t>18353315-0</t>
        </is>
      </c>
      <c r="B130" s="7" t="n">
        <v>3</v>
      </c>
      <c r="C130" s="8" t="inlineStr">
        <is>
          <t>SEGOVIA ALFARO FABIAN EDGARDO</t>
        </is>
      </c>
      <c r="D130" s="8" t="inlineStr">
        <is>
          <t>AYUDANTE GEOSINTETICOS</t>
        </is>
      </c>
      <c r="E130" s="8" t="inlineStr">
        <is>
          <t>TECHINT - RT</t>
        </is>
      </c>
      <c r="F130" s="8" t="inlineStr">
        <is>
          <t>Directo</t>
        </is>
      </c>
      <c r="G130" s="7" t="n">
        <v>17</v>
      </c>
      <c r="H130" s="7" t="n">
        <v>0</v>
      </c>
      <c r="I130" s="9" t="n">
        <v>746000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105683</v>
      </c>
      <c r="O130" s="9" t="n">
        <v>528416</v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528416</v>
      </c>
      <c r="W130" s="9" t="n">
        <v>60504</v>
      </c>
      <c r="X130" s="9" t="n">
        <v>36989</v>
      </c>
      <c r="Y130" s="9" t="n">
        <v>0</v>
      </c>
      <c r="Z130" s="9" t="n">
        <v>0</v>
      </c>
      <c r="AA130" s="9" t="n">
        <v>97493</v>
      </c>
      <c r="AB130" s="9" t="n">
        <v>430923</v>
      </c>
      <c r="AC130" s="9" t="n">
        <v>4914</v>
      </c>
      <c r="AD130" s="9" t="n">
        <v>8560</v>
      </c>
      <c r="AE130" s="9" t="n">
        <v>15852</v>
      </c>
      <c r="AF130" s="9" t="n">
        <v>557742</v>
      </c>
    </row>
    <row r="131">
      <c r="A131" s="4" t="inlineStr">
        <is>
          <t>18984688-6</t>
        </is>
      </c>
      <c r="B131" s="4" t="n">
        <v>4</v>
      </c>
      <c r="C131" s="5" t="inlineStr">
        <is>
          <t>SEGOVIA CASTILLO RICARDO ENRIQUE</t>
        </is>
      </c>
      <c r="D131" s="5" t="inlineStr">
        <is>
          <t>MAESTRO SEGUNDA GEOSINTETICOS</t>
        </is>
      </c>
      <c r="E131" s="5" t="inlineStr">
        <is>
          <t>SERVICIO DE IMPERMEABILIZACION CELDAS RSD1 Y RSD CASERONES</t>
        </is>
      </c>
      <c r="F131" s="5" t="inlineStr">
        <is>
          <t>Directo</t>
        </is>
      </c>
      <c r="G131" s="4" t="n">
        <v>5</v>
      </c>
      <c r="H131" s="4" t="n">
        <v>0</v>
      </c>
      <c r="I131" s="6" t="n">
        <v>920000</v>
      </c>
      <c r="J131" s="6" t="n">
        <v>0</v>
      </c>
      <c r="K131" s="6" t="n">
        <v>125000</v>
      </c>
      <c r="L131" s="6" t="n">
        <v>0</v>
      </c>
      <c r="M131" s="6" t="n">
        <v>0</v>
      </c>
      <c r="N131" s="6" t="n">
        <v>69583</v>
      </c>
      <c r="O131" s="6" t="n">
        <v>347916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0</v>
      </c>
      <c r="V131" s="6" t="n">
        <v>347916</v>
      </c>
      <c r="W131" s="6" t="n">
        <v>36810</v>
      </c>
      <c r="X131" s="6" t="n">
        <v>24354</v>
      </c>
      <c r="Y131" s="6" t="n">
        <v>0</v>
      </c>
      <c r="Z131" s="6" t="n">
        <v>0</v>
      </c>
      <c r="AA131" s="6" t="n">
        <v>61164</v>
      </c>
      <c r="AB131" s="6" t="n">
        <v>286752</v>
      </c>
      <c r="AC131" s="6" t="n">
        <v>3236</v>
      </c>
      <c r="AD131" s="6" t="n">
        <v>5636</v>
      </c>
      <c r="AE131" s="6" t="n">
        <v>10437</v>
      </c>
      <c r="AF131" s="6" t="n">
        <v>367225</v>
      </c>
    </row>
    <row r="132">
      <c r="A132" s="7" t="inlineStr">
        <is>
          <t>10147391-0</t>
        </is>
      </c>
      <c r="B132" s="7" t="n">
        <v>3</v>
      </c>
      <c r="C132" s="8" t="inlineStr">
        <is>
          <t>SEGOVIA GUERRA PEDRO ENRIQUE</t>
        </is>
      </c>
      <c r="D132" s="8" t="inlineStr">
        <is>
          <t>AYUDANTE GEOSINTETICOS</t>
        </is>
      </c>
      <c r="E132" s="8" t="inlineStr">
        <is>
          <t>TECHINT - RT</t>
        </is>
      </c>
      <c r="F132" s="8" t="inlineStr">
        <is>
          <t>Directo</t>
        </is>
      </c>
      <c r="G132" s="7" t="n">
        <v>12</v>
      </c>
      <c r="H132" s="7" t="n">
        <v>0</v>
      </c>
      <c r="I132" s="9" t="n">
        <v>746000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74600</v>
      </c>
      <c r="O132" s="9" t="n">
        <v>373000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373000</v>
      </c>
      <c r="W132" s="9" t="n">
        <v>41627</v>
      </c>
      <c r="X132" s="9" t="n">
        <v>26110</v>
      </c>
      <c r="Y132" s="9" t="n">
        <v>0</v>
      </c>
      <c r="Z132" s="9" t="n">
        <v>0</v>
      </c>
      <c r="AA132" s="9" t="n">
        <v>67737</v>
      </c>
      <c r="AB132" s="9" t="n">
        <v>305263</v>
      </c>
      <c r="AC132" s="9" t="n">
        <v>3469</v>
      </c>
      <c r="AD132" s="9" t="n">
        <v>6043</v>
      </c>
      <c r="AE132" s="9" t="n">
        <v>11190</v>
      </c>
      <c r="AF132" s="9" t="n">
        <v>393702</v>
      </c>
    </row>
    <row r="133">
      <c r="A133" s="4" t="inlineStr">
        <is>
          <t>15164558-5</t>
        </is>
      </c>
      <c r="B133" s="4" t="n">
        <v>3</v>
      </c>
      <c r="C133" s="5" t="inlineStr">
        <is>
          <t>SEPULVEDA VARGAS ESTEBAN ANDRES</t>
        </is>
      </c>
      <c r="D133" s="5" t="inlineStr">
        <is>
          <t>TECNICO RECURSOS HUMANOS</t>
        </is>
      </c>
      <c r="E133" s="5" t="inlineStr">
        <is>
          <t>SERVICIO DE IMPERMEABILIZACION CELDAS RSD1 Y RSD CASERONES</t>
        </is>
      </c>
      <c r="F133" s="5" t="inlineStr">
        <is>
          <t>Indirecto</t>
        </is>
      </c>
      <c r="G133" s="4" t="n">
        <v>30</v>
      </c>
      <c r="H133" s="4" t="n">
        <v>0</v>
      </c>
      <c r="I133" s="6" t="n">
        <v>2430000</v>
      </c>
      <c r="J133" s="6" t="n">
        <v>0</v>
      </c>
      <c r="K133" s="6" t="n">
        <v>468000</v>
      </c>
      <c r="L133" s="6" t="n">
        <v>0</v>
      </c>
      <c r="M133" s="6" t="n">
        <v>0</v>
      </c>
      <c r="N133" s="6" t="n">
        <v>213354</v>
      </c>
      <c r="O133" s="6" t="n">
        <v>3111354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0</v>
      </c>
      <c r="V133" s="6" t="n">
        <v>3195354</v>
      </c>
      <c r="W133" s="6" t="n">
        <v>355939</v>
      </c>
      <c r="X133" s="6" t="n">
        <v>217795</v>
      </c>
      <c r="Y133" s="6" t="n">
        <v>0</v>
      </c>
      <c r="Z133" s="6" t="n">
        <v>80186</v>
      </c>
      <c r="AA133" s="6" t="n">
        <v>653920</v>
      </c>
      <c r="AB133" s="6" t="n">
        <v>2541434</v>
      </c>
      <c r="AC133" s="6" t="n">
        <v>28936</v>
      </c>
      <c r="AD133" s="6" t="n">
        <v>50404</v>
      </c>
      <c r="AE133" s="6" t="n">
        <v>93341</v>
      </c>
      <c r="AF133" s="6" t="n">
        <v>3284035</v>
      </c>
    </row>
    <row r="134">
      <c r="A134" s="7" t="inlineStr">
        <is>
          <t>15936945-5</t>
        </is>
      </c>
      <c r="B134" s="7" t="n">
        <v>1</v>
      </c>
      <c r="C134" s="8" t="inlineStr">
        <is>
          <t>SEPULVEDA VERGARA KARLA ANDREA</t>
        </is>
      </c>
      <c r="D134" s="8" t="inlineStr">
        <is>
          <t>SUBGERENTE ESTUDIOS</t>
        </is>
      </c>
      <c r="E134" s="8" t="inlineStr">
        <is>
          <t>Dpto. Estudios</t>
        </is>
      </c>
      <c r="F134" s="8" t="inlineStr">
        <is>
          <t>Oficina</t>
        </is>
      </c>
      <c r="G134" s="7" t="n">
        <v>30</v>
      </c>
      <c r="H134" s="7" t="n">
        <v>0</v>
      </c>
      <c r="I134" s="9" t="n">
        <v>5318000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213354</v>
      </c>
      <c r="O134" s="9" t="n">
        <v>5531354</v>
      </c>
      <c r="P134" s="9" t="n">
        <v>73500</v>
      </c>
      <c r="Q134" s="9" t="n">
        <v>10000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5614854</v>
      </c>
      <c r="W134" s="9" t="n">
        <v>386695</v>
      </c>
      <c r="X134" s="9" t="n">
        <v>292844</v>
      </c>
      <c r="Y134" s="9" t="n">
        <v>32943</v>
      </c>
      <c r="Z134" s="9" t="n">
        <v>338602</v>
      </c>
      <c r="AA134" s="9" t="n">
        <v>1051084</v>
      </c>
      <c r="AB134" s="9" t="n">
        <v>4563770</v>
      </c>
      <c r="AC134" s="9" t="n">
        <v>33991</v>
      </c>
      <c r="AD134" s="9" t="n">
        <v>59210</v>
      </c>
      <c r="AE134" s="9" t="n">
        <v>131774</v>
      </c>
      <c r="AF134" s="9" t="n">
        <v>5756329</v>
      </c>
    </row>
    <row r="135">
      <c r="A135" s="4" t="inlineStr">
        <is>
          <t>15982591-4</t>
        </is>
      </c>
      <c r="B135" s="4" t="n">
        <v>1</v>
      </c>
      <c r="C135" s="5" t="inlineStr">
        <is>
          <t>SIARES GUZMAN RICHARD ALEXANDER</t>
        </is>
      </c>
      <c r="D135" s="5" t="inlineStr">
        <is>
          <t>ADMINISTRADOR DE CONTRATOS</t>
        </is>
      </c>
      <c r="E135" s="5" t="inlineStr">
        <is>
          <t>ACCIONA IMPERMEABILIZACION DE TALUDES MURO SUR</t>
        </is>
      </c>
      <c r="F135" s="5" t="inlineStr">
        <is>
          <t>Indirecto</t>
        </is>
      </c>
      <c r="G135" s="4" t="n">
        <v>30</v>
      </c>
      <c r="H135" s="4" t="n">
        <v>0</v>
      </c>
      <c r="I135" s="6" t="n">
        <v>3769000</v>
      </c>
      <c r="J135" s="6" t="n">
        <v>0</v>
      </c>
      <c r="K135" s="6" t="n">
        <v>940000</v>
      </c>
      <c r="L135" s="6" t="n">
        <v>0</v>
      </c>
      <c r="M135" s="6" t="n">
        <v>0</v>
      </c>
      <c r="N135" s="6" t="n">
        <v>213354</v>
      </c>
      <c r="O135" s="6" t="n">
        <v>4922354</v>
      </c>
      <c r="P135" s="6" t="n">
        <v>0</v>
      </c>
      <c r="Q135" s="6" t="n">
        <v>10000</v>
      </c>
      <c r="R135" s="6" t="n">
        <v>0</v>
      </c>
      <c r="S135" s="6" t="n">
        <v>0</v>
      </c>
      <c r="T135" s="6" t="n">
        <v>0</v>
      </c>
      <c r="U135" s="6" t="n">
        <v>0</v>
      </c>
      <c r="V135" s="6" t="n">
        <v>4932354</v>
      </c>
      <c r="W135" s="6" t="n">
        <v>411914</v>
      </c>
      <c r="X135" s="6" t="n">
        <v>272985</v>
      </c>
      <c r="Y135" s="6" t="n">
        <v>29534</v>
      </c>
      <c r="Z135" s="6" t="n">
        <v>253443</v>
      </c>
      <c r="AA135" s="6" t="n">
        <v>967876</v>
      </c>
      <c r="AB135" s="6" t="n">
        <v>3964478</v>
      </c>
      <c r="AC135" s="6" t="n">
        <v>33991</v>
      </c>
      <c r="AD135" s="6" t="n">
        <v>59210</v>
      </c>
      <c r="AE135" s="6" t="n">
        <v>118136</v>
      </c>
      <c r="AF135" s="6" t="n">
        <v>5133691</v>
      </c>
    </row>
    <row r="136">
      <c r="A136" s="7" t="inlineStr">
        <is>
          <t>12487485-8</t>
        </is>
      </c>
      <c r="B136" s="7" t="n">
        <v>1</v>
      </c>
      <c r="C136" s="8" t="inlineStr">
        <is>
          <t>SILVA BOCK DANIELA VIVIAN</t>
        </is>
      </c>
      <c r="D136" s="8" t="inlineStr">
        <is>
          <t>JEFE UNIDAD COMPENSACIONES</t>
        </is>
      </c>
      <c r="E136" s="8" t="inlineStr">
        <is>
          <t>Dpto. Recursos Humanos</t>
        </is>
      </c>
      <c r="F136" s="8" t="inlineStr">
        <is>
          <t>Oficina</t>
        </is>
      </c>
      <c r="G136" s="7" t="n">
        <v>30</v>
      </c>
      <c r="H136" s="7" t="n">
        <v>0</v>
      </c>
      <c r="I136" s="9" t="n">
        <v>2854276</v>
      </c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213354</v>
      </c>
      <c r="O136" s="9" t="n">
        <v>3067630</v>
      </c>
      <c r="P136" s="9" t="n">
        <v>73500</v>
      </c>
      <c r="Q136" s="9" t="n">
        <v>10000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3151130</v>
      </c>
      <c r="W136" s="9" t="n">
        <v>350937</v>
      </c>
      <c r="X136" s="9" t="n">
        <v>233593</v>
      </c>
      <c r="Y136" s="9" t="n">
        <v>0</v>
      </c>
      <c r="Z136" s="9" t="n">
        <v>75825</v>
      </c>
      <c r="AA136" s="9" t="n">
        <v>660355</v>
      </c>
      <c r="AB136" s="9" t="n">
        <v>2490775</v>
      </c>
      <c r="AC136" s="9" t="n">
        <v>28529</v>
      </c>
      <c r="AD136" s="9" t="n">
        <v>49696</v>
      </c>
      <c r="AE136" s="9" t="n">
        <v>24541</v>
      </c>
      <c r="AF136" s="9" t="n">
        <v>3170396</v>
      </c>
    </row>
    <row r="137">
      <c r="A137" s="4" t="inlineStr">
        <is>
          <t>18444978-1</t>
        </is>
      </c>
      <c r="B137" s="4" t="n">
        <v>3</v>
      </c>
      <c r="C137" s="5" t="inlineStr">
        <is>
          <t>TALAMILLA TALAMILLA FRANCISCO JAVIER</t>
        </is>
      </c>
      <c r="D137" s="5" t="inlineStr">
        <is>
          <t>MAESTRO PRIMERA GEOSINTETICOS</t>
        </is>
      </c>
      <c r="E137" s="5" t="inlineStr">
        <is>
          <t>TECHINT - RT</t>
        </is>
      </c>
      <c r="F137" s="5" t="inlineStr">
        <is>
          <t>Directo</t>
        </is>
      </c>
      <c r="G137" s="4" t="n">
        <v>18</v>
      </c>
      <c r="H137" s="4" t="n">
        <v>0</v>
      </c>
      <c r="I137" s="6" t="n">
        <v>1315000</v>
      </c>
      <c r="J137" s="6" t="n">
        <v>0</v>
      </c>
      <c r="K137" s="6" t="n">
        <v>0</v>
      </c>
      <c r="L137" s="6" t="n">
        <v>0</v>
      </c>
      <c r="M137" s="6" t="n">
        <v>0</v>
      </c>
      <c r="N137" s="6" t="n">
        <v>197250</v>
      </c>
      <c r="O137" s="6" t="n">
        <v>986250</v>
      </c>
      <c r="P137" s="6" t="n">
        <v>0</v>
      </c>
      <c r="Q137" s="6" t="n">
        <v>0</v>
      </c>
      <c r="R137" s="6" t="n">
        <v>0</v>
      </c>
      <c r="S137" s="6" t="n">
        <v>0</v>
      </c>
      <c r="T137" s="6" t="n">
        <v>0</v>
      </c>
      <c r="U137" s="6" t="n">
        <v>0</v>
      </c>
      <c r="V137" s="6" t="n">
        <v>986250</v>
      </c>
      <c r="W137" s="6" t="n">
        <v>112926</v>
      </c>
      <c r="X137" s="6" t="n">
        <v>69038</v>
      </c>
      <c r="Y137" s="6" t="n">
        <v>0</v>
      </c>
      <c r="Z137" s="6" t="n">
        <v>0</v>
      </c>
      <c r="AA137" s="6" t="n">
        <v>181964</v>
      </c>
      <c r="AB137" s="6" t="n">
        <v>804286</v>
      </c>
      <c r="AC137" s="6" t="n">
        <v>9172</v>
      </c>
      <c r="AD137" s="6" t="n">
        <v>15977</v>
      </c>
      <c r="AE137" s="6" t="n">
        <v>29588</v>
      </c>
      <c r="AF137" s="6" t="n">
        <v>1040987</v>
      </c>
    </row>
    <row r="138">
      <c r="A138" s="7" t="inlineStr">
        <is>
          <t>21743583-8</t>
        </is>
      </c>
      <c r="B138" s="7" t="n">
        <v>2</v>
      </c>
      <c r="C138" s="8" t="inlineStr">
        <is>
          <t>TAPIA CONTRERAS MILOVAN EUGENIO</t>
        </is>
      </c>
      <c r="D138" s="8" t="inlineStr">
        <is>
          <t>MAESTRO SEGUNDA GEOSINTETICOS</t>
        </is>
      </c>
      <c r="E138" s="8" t="inlineStr">
        <is>
          <t>SERVICIO DE IMPERMEABILIZACION CELDAS RSD1 Y RSD CASERONES</t>
        </is>
      </c>
      <c r="F138" s="8" t="inlineStr">
        <is>
          <t>Directo</t>
        </is>
      </c>
      <c r="G138" s="7" t="n">
        <v>5</v>
      </c>
      <c r="H138" s="7" t="n">
        <v>0</v>
      </c>
      <c r="I138" s="9" t="n">
        <v>920000</v>
      </c>
      <c r="J138" s="9" t="n">
        <v>0</v>
      </c>
      <c r="K138" s="9" t="n">
        <v>125000</v>
      </c>
      <c r="L138" s="9" t="n">
        <v>0</v>
      </c>
      <c r="M138" s="9" t="n">
        <v>0</v>
      </c>
      <c r="N138" s="9" t="n">
        <v>69583</v>
      </c>
      <c r="O138" s="9" t="n">
        <v>347916</v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347916</v>
      </c>
      <c r="W138" s="9" t="n">
        <v>36810</v>
      </c>
      <c r="X138" s="9" t="n">
        <v>24354</v>
      </c>
      <c r="Y138" s="9" t="n">
        <v>0</v>
      </c>
      <c r="Z138" s="9" t="n">
        <v>0</v>
      </c>
      <c r="AA138" s="9" t="n">
        <v>61164</v>
      </c>
      <c r="AB138" s="9" t="n">
        <v>286752</v>
      </c>
      <c r="AC138" s="9" t="n">
        <v>3236</v>
      </c>
      <c r="AD138" s="9" t="n">
        <v>5636</v>
      </c>
      <c r="AE138" s="9" t="n">
        <v>10437</v>
      </c>
      <c r="AF138" s="9" t="n">
        <v>367225</v>
      </c>
    </row>
    <row r="139">
      <c r="A139" s="4" t="inlineStr">
        <is>
          <t>13904453-3</t>
        </is>
      </c>
      <c r="B139" s="4" t="n">
        <v>1</v>
      </c>
      <c r="C139" s="5" t="inlineStr">
        <is>
          <t>TORO ANDRADE ESTEBAN</t>
        </is>
      </c>
      <c r="D139" s="5" t="inlineStr">
        <is>
          <t>GERENTE PLANIFICACION Y CONTROL</t>
        </is>
      </c>
      <c r="E139" s="5" t="inlineStr">
        <is>
          <t>Operacion</t>
        </is>
      </c>
      <c r="F139" s="5" t="inlineStr">
        <is>
          <t>Oficina</t>
        </is>
      </c>
      <c r="G139" s="4" t="n">
        <v>30</v>
      </c>
      <c r="H139" s="4" t="n">
        <v>0</v>
      </c>
      <c r="I139" s="6" t="n">
        <v>7315000</v>
      </c>
      <c r="J139" s="6" t="n">
        <v>0</v>
      </c>
      <c r="K139" s="6" t="n">
        <v>0</v>
      </c>
      <c r="L139" s="6" t="n">
        <v>0</v>
      </c>
      <c r="M139" s="6" t="n">
        <v>0</v>
      </c>
      <c r="N139" s="6" t="n">
        <v>213354</v>
      </c>
      <c r="O139" s="6" t="n">
        <v>7528354</v>
      </c>
      <c r="P139" s="6" t="n">
        <v>73500</v>
      </c>
      <c r="Q139" s="6" t="n">
        <v>20000</v>
      </c>
      <c r="R139" s="6" t="n">
        <v>0</v>
      </c>
      <c r="S139" s="6" t="n">
        <v>0</v>
      </c>
      <c r="T139" s="6" t="n">
        <v>0</v>
      </c>
      <c r="U139" s="6" t="n">
        <v>0</v>
      </c>
      <c r="V139" s="6" t="n">
        <v>7621854</v>
      </c>
      <c r="W139" s="6" t="n">
        <v>418128</v>
      </c>
      <c r="X139" s="6" t="n">
        <v>255847</v>
      </c>
      <c r="Y139" s="6" t="n">
        <v>32943</v>
      </c>
      <c r="Z139" s="6" t="n">
        <v>811170</v>
      </c>
      <c r="AA139" s="6" t="n">
        <v>1538088</v>
      </c>
      <c r="AB139" s="6" t="n">
        <v>6103766</v>
      </c>
      <c r="AC139" s="6" t="n">
        <v>33991</v>
      </c>
      <c r="AD139" s="6" t="n">
        <v>59210</v>
      </c>
      <c r="AE139" s="6" t="n">
        <v>131774</v>
      </c>
      <c r="AF139" s="6" t="n">
        <v>7753329</v>
      </c>
    </row>
    <row r="140">
      <c r="A140" s="7" t="inlineStr">
        <is>
          <t>16109258-4</t>
        </is>
      </c>
      <c r="B140" s="7" t="n">
        <v>2</v>
      </c>
      <c r="C140" s="8" t="inlineStr">
        <is>
          <t>VALDERRAMA TABILO JOSE ORLANDO</t>
        </is>
      </c>
      <c r="D140" s="8" t="inlineStr">
        <is>
          <t>AYUDANTE GEOSINTETICOS</t>
        </is>
      </c>
      <c r="E140" s="8" t="inlineStr">
        <is>
          <t>SERVICIO DE IMPERMEABILIZACION CELDAS RSD1 Y RSD CASERONES</t>
        </is>
      </c>
      <c r="F140" s="8" t="inlineStr">
        <is>
          <t>Directo</t>
        </is>
      </c>
      <c r="G140" s="7" t="n">
        <v>19</v>
      </c>
      <c r="H140" s="7" t="n">
        <v>0</v>
      </c>
      <c r="I140" s="9" t="n">
        <v>834000</v>
      </c>
      <c r="J140" s="9" t="n">
        <v>0</v>
      </c>
      <c r="K140" s="9" t="n">
        <v>160000</v>
      </c>
      <c r="L140" s="9" t="n">
        <v>0</v>
      </c>
      <c r="M140" s="9" t="n">
        <v>0</v>
      </c>
      <c r="N140" s="9" t="n">
        <v>172050</v>
      </c>
      <c r="O140" s="9" t="n">
        <v>860250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864250</v>
      </c>
      <c r="W140" s="9" t="n">
        <v>98499</v>
      </c>
      <c r="X140" s="9" t="n">
        <v>60218</v>
      </c>
      <c r="Y140" s="9" t="n">
        <v>0</v>
      </c>
      <c r="Z140" s="9" t="n">
        <v>0</v>
      </c>
      <c r="AA140" s="9" t="n">
        <v>158717</v>
      </c>
      <c r="AB140" s="9" t="n">
        <v>705533</v>
      </c>
      <c r="AC140" s="9" t="n">
        <v>8000</v>
      </c>
      <c r="AD140" s="9" t="n">
        <v>13936</v>
      </c>
      <c r="AE140" s="9" t="n">
        <v>25808</v>
      </c>
      <c r="AF140" s="9" t="n">
        <v>907994</v>
      </c>
    </row>
    <row r="141">
      <c r="A141" s="4" t="inlineStr">
        <is>
          <t>16109258-4</t>
        </is>
      </c>
      <c r="B141" s="4" t="n">
        <v>3</v>
      </c>
      <c r="C141" s="5" t="inlineStr">
        <is>
          <t>VALDERRAMA TABILO JOSE ORLANDO</t>
        </is>
      </c>
      <c r="D141" s="5" t="inlineStr">
        <is>
          <t>AYUDANTE GEOSINTETICOS</t>
        </is>
      </c>
      <c r="E141" s="5" t="inlineStr">
        <is>
          <t>TECHINT - RT</t>
        </is>
      </c>
      <c r="F141" s="5" t="inlineStr">
        <is>
          <t>Directo</t>
        </is>
      </c>
      <c r="G141" s="4" t="n">
        <v>12</v>
      </c>
      <c r="H141" s="4" t="n">
        <v>0</v>
      </c>
      <c r="I141" s="6" t="n">
        <v>746000</v>
      </c>
      <c r="J141" s="6" t="n">
        <v>0</v>
      </c>
      <c r="K141" s="6" t="n">
        <v>0</v>
      </c>
      <c r="L141" s="6" t="n">
        <v>0</v>
      </c>
      <c r="M141" s="6" t="n">
        <v>0</v>
      </c>
      <c r="N141" s="6" t="n">
        <v>74600</v>
      </c>
      <c r="O141" s="6" t="n">
        <v>373000</v>
      </c>
      <c r="P141" s="6" t="n">
        <v>0</v>
      </c>
      <c r="Q141" s="6" t="n">
        <v>0</v>
      </c>
      <c r="R141" s="6" t="n">
        <v>0</v>
      </c>
      <c r="S141" s="6" t="n">
        <v>0</v>
      </c>
      <c r="T141" s="6" t="n">
        <v>0</v>
      </c>
      <c r="U141" s="6" t="n">
        <v>0</v>
      </c>
      <c r="V141" s="6" t="n">
        <v>373000</v>
      </c>
      <c r="W141" s="6" t="n">
        <v>42708</v>
      </c>
      <c r="X141" s="6" t="n">
        <v>26110</v>
      </c>
      <c r="Y141" s="6" t="n">
        <v>0</v>
      </c>
      <c r="Z141" s="6" t="n">
        <v>2111</v>
      </c>
      <c r="AA141" s="6" t="n">
        <v>70929</v>
      </c>
      <c r="AB141" s="6" t="n">
        <v>302071</v>
      </c>
      <c r="AC141" s="6" t="n">
        <v>3469</v>
      </c>
      <c r="AD141" s="6" t="n">
        <v>6043</v>
      </c>
      <c r="AE141" s="6" t="n">
        <v>11190</v>
      </c>
      <c r="AF141" s="6" t="n">
        <v>393702</v>
      </c>
    </row>
    <row r="142">
      <c r="A142" s="7" t="inlineStr">
        <is>
          <t>14016056-3</t>
        </is>
      </c>
      <c r="B142" s="7" t="n">
        <v>1</v>
      </c>
      <c r="C142" s="8" t="inlineStr">
        <is>
          <t>VALDIVIA TORRES GONZALO EDUARDO</t>
        </is>
      </c>
      <c r="D142" s="8" t="inlineStr">
        <is>
          <t>GENERALISTA GESTION PERSONAS SENIOR</t>
        </is>
      </c>
      <c r="E142" s="8" t="inlineStr">
        <is>
          <t>Oficina Antofagasta</t>
        </is>
      </c>
      <c r="F142" s="8" t="inlineStr">
        <is>
          <t>Oficina</t>
        </is>
      </c>
      <c r="G142" s="7" t="n">
        <v>30</v>
      </c>
      <c r="H142" s="7" t="n">
        <v>0</v>
      </c>
      <c r="I142" s="9" t="n">
        <v>2312000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213354</v>
      </c>
      <c r="O142" s="9" t="n">
        <v>2525354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2525354</v>
      </c>
      <c r="W142" s="9" t="n">
        <v>288900</v>
      </c>
      <c r="X142" s="9" t="n">
        <v>176775</v>
      </c>
      <c r="Y142" s="9" t="n">
        <v>15152</v>
      </c>
      <c r="Z142" s="9" t="n">
        <v>43664</v>
      </c>
      <c r="AA142" s="9" t="n">
        <v>524491</v>
      </c>
      <c r="AB142" s="9" t="n">
        <v>2000863</v>
      </c>
      <c r="AC142" s="9" t="n">
        <v>23486</v>
      </c>
      <c r="AD142" s="9" t="n">
        <v>40911</v>
      </c>
      <c r="AE142" s="9" t="n">
        <v>60608</v>
      </c>
      <c r="AF142" s="9" t="n">
        <v>2650359</v>
      </c>
    </row>
    <row r="143">
      <c r="A143" s="4" t="inlineStr">
        <is>
          <t>16538795-3</t>
        </is>
      </c>
      <c r="B143" s="4" t="n">
        <v>2</v>
      </c>
      <c r="C143" s="5" t="inlineStr">
        <is>
          <t>VASQUEZ BRAVO LUIS ALEXIS FERNANDO</t>
        </is>
      </c>
      <c r="D143" s="5" t="inlineStr">
        <is>
          <t>CAPATAZ GEOSINTETICOS</t>
        </is>
      </c>
      <c r="E143" s="5" t="inlineStr">
        <is>
          <t>TECHINT - RT</t>
        </is>
      </c>
      <c r="F143" s="5" t="inlineStr">
        <is>
          <t>Directo</t>
        </is>
      </c>
      <c r="G143" s="4" t="n">
        <v>18</v>
      </c>
      <c r="H143" s="4" t="n">
        <v>0</v>
      </c>
      <c r="I143" s="6" t="n">
        <v>1550000</v>
      </c>
      <c r="J143" s="6" t="n">
        <v>0</v>
      </c>
      <c r="K143" s="6" t="n">
        <v>0</v>
      </c>
      <c r="L143" s="6" t="n">
        <v>0</v>
      </c>
      <c r="M143" s="6" t="n">
        <v>0</v>
      </c>
      <c r="N143" s="6" t="n">
        <v>213354</v>
      </c>
      <c r="O143" s="6" t="n">
        <v>1143354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0</v>
      </c>
      <c r="V143" s="6" t="n">
        <v>1143354</v>
      </c>
      <c r="W143" s="6" t="n">
        <v>130914</v>
      </c>
      <c r="X143" s="6" t="n">
        <v>80035</v>
      </c>
      <c r="Y143" s="6" t="n">
        <v>0</v>
      </c>
      <c r="Z143" s="6" t="n">
        <v>0</v>
      </c>
      <c r="AA143" s="6" t="n">
        <v>210949</v>
      </c>
      <c r="AB143" s="6" t="n">
        <v>932405</v>
      </c>
      <c r="AC143" s="6" t="n">
        <v>10633</v>
      </c>
      <c r="AD143" s="6" t="n">
        <v>18522</v>
      </c>
      <c r="AE143" s="6" t="n">
        <v>34301</v>
      </c>
      <c r="AF143" s="6" t="n">
        <v>1206810</v>
      </c>
    </row>
    <row r="144">
      <c r="A144" s="7" t="inlineStr">
        <is>
          <t>13702938-3</t>
        </is>
      </c>
      <c r="B144" s="7" t="n">
        <v>2</v>
      </c>
      <c r="C144" s="8" t="inlineStr">
        <is>
          <t>VEGA GUERRERO VICTOR ANDRES</t>
        </is>
      </c>
      <c r="D144" s="8" t="inlineStr">
        <is>
          <t>SUPERVISOR GEOSINTETICOS</t>
        </is>
      </c>
      <c r="E144" s="8" t="inlineStr">
        <is>
          <t>TECHINT - RT</t>
        </is>
      </c>
      <c r="F144" s="8" t="inlineStr">
        <is>
          <t>Indirecto</t>
        </is>
      </c>
      <c r="G144" s="7" t="n">
        <v>30</v>
      </c>
      <c r="H144" s="7" t="n">
        <v>0</v>
      </c>
      <c r="I144" s="9" t="n">
        <v>2441000</v>
      </c>
      <c r="J144" s="9" t="n">
        <v>0</v>
      </c>
      <c r="K144" s="9" t="n">
        <v>713018</v>
      </c>
      <c r="L144" s="9" t="n">
        <v>0</v>
      </c>
      <c r="M144" s="9" t="n">
        <v>0</v>
      </c>
      <c r="N144" s="9" t="n">
        <v>213354</v>
      </c>
      <c r="O144" s="9" t="n">
        <v>3367372</v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3375372</v>
      </c>
      <c r="W144" s="9" t="n">
        <v>385227</v>
      </c>
      <c r="X144" s="9" t="n">
        <v>235716</v>
      </c>
      <c r="Y144" s="9" t="n">
        <v>0</v>
      </c>
      <c r="Z144" s="9" t="n">
        <v>96891</v>
      </c>
      <c r="AA144" s="9" t="n">
        <v>717834</v>
      </c>
      <c r="AB144" s="9" t="n">
        <v>2657538</v>
      </c>
      <c r="AC144" s="9" t="n">
        <v>31317</v>
      </c>
      <c r="AD144" s="9" t="n">
        <v>54551</v>
      </c>
      <c r="AE144" s="9" t="n">
        <v>101021</v>
      </c>
      <c r="AF144" s="9" t="n">
        <v>3554261</v>
      </c>
    </row>
    <row r="145">
      <c r="A145" s="4" t="inlineStr">
        <is>
          <t>20406991-3</t>
        </is>
      </c>
      <c r="B145" s="4" t="n">
        <v>4</v>
      </c>
      <c r="C145" s="5" t="inlineStr">
        <is>
          <t>VELIZ CASTILLO FELIPE ANDRES</t>
        </is>
      </c>
      <c r="D145" s="5" t="inlineStr">
        <is>
          <t>ELECTROMECANICO MANTENCION</t>
        </is>
      </c>
      <c r="E145" s="5" t="inlineStr">
        <is>
          <t>TECHINT - RT</t>
        </is>
      </c>
      <c r="F145" s="5" t="inlineStr">
        <is>
          <t>Indirecto</t>
        </is>
      </c>
      <c r="G145" s="4" t="n">
        <v>12</v>
      </c>
      <c r="H145" s="4" t="n">
        <v>0</v>
      </c>
      <c r="I145" s="6" t="n">
        <v>1315000</v>
      </c>
      <c r="J145" s="6" t="n">
        <v>0</v>
      </c>
      <c r="K145" s="6" t="n">
        <v>0</v>
      </c>
      <c r="L145" s="6" t="n">
        <v>0</v>
      </c>
      <c r="M145" s="6" t="n">
        <v>0</v>
      </c>
      <c r="N145" s="6" t="n">
        <v>131500</v>
      </c>
      <c r="O145" s="6" t="n">
        <v>657500</v>
      </c>
      <c r="P145" s="6" t="n">
        <v>0</v>
      </c>
      <c r="Q145" s="6" t="n">
        <v>0</v>
      </c>
      <c r="R145" s="6" t="n">
        <v>0</v>
      </c>
      <c r="S145" s="6" t="n">
        <v>0</v>
      </c>
      <c r="T145" s="6" t="n">
        <v>0</v>
      </c>
      <c r="U145" s="6" t="n">
        <v>0</v>
      </c>
      <c r="V145" s="6" t="n">
        <v>657500</v>
      </c>
      <c r="W145" s="6" t="n">
        <v>69564</v>
      </c>
      <c r="X145" s="6" t="n">
        <v>46025</v>
      </c>
      <c r="Y145" s="6" t="n">
        <v>0</v>
      </c>
      <c r="Z145" s="6" t="n">
        <v>0</v>
      </c>
      <c r="AA145" s="6" t="n">
        <v>115589</v>
      </c>
      <c r="AB145" s="6" t="n">
        <v>541911</v>
      </c>
      <c r="AC145" s="6" t="n">
        <v>6115</v>
      </c>
      <c r="AD145" s="6" t="n">
        <v>10652</v>
      </c>
      <c r="AE145" s="6" t="n">
        <v>19725</v>
      </c>
      <c r="AF145" s="6" t="n">
        <v>693992</v>
      </c>
    </row>
    <row r="146">
      <c r="A146" s="7" t="inlineStr">
        <is>
          <t>10731944-1</t>
        </is>
      </c>
      <c r="B146" s="7" t="n">
        <v>2</v>
      </c>
      <c r="C146" s="8" t="inlineStr">
        <is>
          <t>ZAVALA CALDERON CARLOS RUBEN</t>
        </is>
      </c>
      <c r="D146" s="8" t="inlineStr">
        <is>
          <t>AYUDANTE GEOSINTETICOS</t>
        </is>
      </c>
      <c r="E146" s="8" t="inlineStr">
        <is>
          <t>TECHINT - RT</t>
        </is>
      </c>
      <c r="F146" s="8" t="inlineStr">
        <is>
          <t>Directo</t>
        </is>
      </c>
      <c r="G146" s="7" t="n">
        <v>12</v>
      </c>
      <c r="H146" s="7" t="n">
        <v>0</v>
      </c>
      <c r="I146" s="9" t="n">
        <v>746000</v>
      </c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74600</v>
      </c>
      <c r="O146" s="9" t="n">
        <v>373000</v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373000</v>
      </c>
      <c r="W146" s="9" t="n">
        <v>41627</v>
      </c>
      <c r="X146" s="9" t="n">
        <v>26110</v>
      </c>
      <c r="Y146" s="9" t="n">
        <v>0</v>
      </c>
      <c r="Z146" s="9" t="n">
        <v>0</v>
      </c>
      <c r="AA146" s="9" t="n">
        <v>67737</v>
      </c>
      <c r="AB146" s="9" t="n">
        <v>305263</v>
      </c>
      <c r="AC146" s="9" t="n">
        <v>3469</v>
      </c>
      <c r="AD146" s="9" t="n">
        <v>6043</v>
      </c>
      <c r="AE146" s="9" t="n">
        <v>11190</v>
      </c>
      <c r="AF146" s="9" t="n">
        <v>393702</v>
      </c>
    </row>
    <row r="147">
      <c r="A147" s="10" t="n"/>
      <c r="B147" s="10" t="n"/>
      <c r="C147" s="11" t="inlineStr">
        <is>
          <t>TOTALES</t>
        </is>
      </c>
      <c r="D147" s="10" t="n"/>
      <c r="E147" s="10" t="n"/>
      <c r="F147" s="10" t="n"/>
      <c r="G147" s="12">
        <f>SUM(G5:G146)</f>
        <v/>
      </c>
      <c r="H147" s="12">
        <f>SUM(H5:H146)</f>
        <v/>
      </c>
      <c r="I147" s="13">
        <f>SUM(I5:I146)</f>
        <v/>
      </c>
      <c r="J147" s="13">
        <f>SUM(J5:J146)</f>
        <v/>
      </c>
      <c r="K147" s="13">
        <f>SUM(K5:K146)</f>
        <v/>
      </c>
      <c r="L147" s="13">
        <f>SUM(L5:L146)</f>
        <v/>
      </c>
      <c r="M147" s="13">
        <f>SUM(M5:M146)</f>
        <v/>
      </c>
      <c r="N147" s="13">
        <f>SUM(N5:N146)</f>
        <v/>
      </c>
      <c r="O147" s="13">
        <f>SUM(O5:O146)</f>
        <v/>
      </c>
      <c r="P147" s="13">
        <f>SUM(P5:P146)</f>
        <v/>
      </c>
      <c r="Q147" s="13">
        <f>SUM(Q5:Q146)</f>
        <v/>
      </c>
      <c r="R147" s="13">
        <f>SUM(R5:R146)</f>
        <v/>
      </c>
      <c r="S147" s="13">
        <f>SUM(S5:S146)</f>
        <v/>
      </c>
      <c r="T147" s="13">
        <f>SUM(T5:T146)</f>
        <v/>
      </c>
      <c r="U147" s="13">
        <f>SUM(U5:U146)</f>
        <v/>
      </c>
      <c r="V147" s="13">
        <f>SUM(V5:V146)</f>
        <v/>
      </c>
      <c r="W147" s="13">
        <f>SUM(W5:W146)</f>
        <v/>
      </c>
      <c r="X147" s="13">
        <f>SUM(X5:X146)</f>
        <v/>
      </c>
      <c r="Y147" s="13">
        <f>SUM(Y5:Y146)</f>
        <v/>
      </c>
      <c r="Z147" s="13">
        <f>SUM(Z5:Z146)</f>
        <v/>
      </c>
      <c r="AA147" s="13">
        <f>SUM(AA5:AA146)</f>
        <v/>
      </c>
      <c r="AB147" s="13">
        <f>SUM(AB5:AB146)</f>
        <v/>
      </c>
      <c r="AC147" s="13">
        <f>SUM(AC5:AC146)</f>
        <v/>
      </c>
      <c r="AD147" s="13">
        <f>SUM(AD5:AD146)</f>
        <v/>
      </c>
      <c r="AE147" s="13">
        <f>SUM(AE5:AE146)</f>
        <v/>
      </c>
      <c r="AF147" s="13">
        <f>SUM(AF5:AF146)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Resumen y Distribución de Costos por Centro de Costo - Periodo 2026-05</t>
        </is>
      </c>
    </row>
    <row r="2">
      <c r="A2" s="2" t="inlineStr">
        <is>
          <t>Distribución agregada de remuneraciones, imposiciones y aporte patronal</t>
        </is>
      </c>
    </row>
    <row r="3"/>
    <row r="4">
      <c r="A4" s="14" t="inlineStr">
        <is>
          <t>Centro de Costo</t>
        </is>
      </c>
      <c r="B4" s="14" t="inlineStr">
        <is>
          <t>Dotación (N°)</t>
        </is>
      </c>
      <c r="C4" s="14" t="inlineStr">
        <is>
          <t>Total Imponible</t>
        </is>
      </c>
      <c r="D4" s="14" t="inlineStr">
        <is>
          <t>Total Líquido</t>
        </is>
      </c>
      <c r="E4" s="14" t="inlineStr">
        <is>
          <t>Total Aportes Empleador</t>
        </is>
      </c>
      <c r="F4" s="14" t="inlineStr">
        <is>
          <t>Costo Empresa Total</t>
        </is>
      </c>
      <c r="G4" s="14" t="inlineStr">
        <is>
          <t>Costo Promedio p/p</t>
        </is>
      </c>
    </row>
    <row r="5">
      <c r="A5" s="15" t="inlineStr">
        <is>
          <t>TECHINT - RT</t>
        </is>
      </c>
      <c r="B5" s="4" t="n">
        <v>85</v>
      </c>
      <c r="C5" s="6" t="n">
        <v>145977956</v>
      </c>
      <c r="D5" s="6" t="n">
        <v>117465517</v>
      </c>
      <c r="E5" s="6" t="n">
        <v>7180577</v>
      </c>
      <c r="F5" s="6" t="n">
        <v>153158533</v>
      </c>
      <c r="G5" s="6">
        <f>F5/B5</f>
        <v/>
      </c>
    </row>
    <row r="6">
      <c r="A6" s="16" t="inlineStr">
        <is>
          <t>SERVICIO DE IMPERMEABILIZACION CELDAS RSD1 Y RSD CASERONES</t>
        </is>
      </c>
      <c r="B6" s="7" t="n">
        <v>29</v>
      </c>
      <c r="C6" s="9" t="n">
        <v>32330249</v>
      </c>
      <c r="D6" s="9" t="n">
        <v>26118114</v>
      </c>
      <c r="E6" s="9" t="n">
        <v>1750448</v>
      </c>
      <c r="F6" s="9" t="n">
        <v>34080697</v>
      </c>
      <c r="G6" s="9">
        <f>F6/B6</f>
        <v/>
      </c>
    </row>
    <row r="7">
      <c r="A7" s="15" t="inlineStr">
        <is>
          <t>ACCIONA IMPERMEABILIZACION DE TALUDES MURO SUR</t>
        </is>
      </c>
      <c r="B7" s="4" t="n">
        <v>11</v>
      </c>
      <c r="C7" s="6" t="n">
        <v>23350502</v>
      </c>
      <c r="D7" s="6" t="n">
        <v>18763633</v>
      </c>
      <c r="E7" s="6" t="n">
        <v>1155245</v>
      </c>
      <c r="F7" s="6" t="n">
        <v>24505747</v>
      </c>
      <c r="G7" s="6">
        <f>F7/B7</f>
        <v/>
      </c>
    </row>
    <row r="8">
      <c r="A8" s="16" t="inlineStr">
        <is>
          <t>Operacion</t>
        </is>
      </c>
      <c r="B8" s="7" t="n">
        <v>4</v>
      </c>
      <c r="C8" s="9" t="n">
        <v>17114390</v>
      </c>
      <c r="D8" s="9" t="n">
        <v>13597610</v>
      </c>
      <c r="E8" s="9" t="n">
        <v>699483</v>
      </c>
      <c r="F8" s="9" t="n">
        <v>17813873</v>
      </c>
      <c r="G8" s="9">
        <f>F8/B8</f>
        <v/>
      </c>
    </row>
    <row r="9">
      <c r="A9" s="15" t="inlineStr">
        <is>
          <t>Gerencia General</t>
        </is>
      </c>
      <c r="B9" s="4" t="n">
        <v>1</v>
      </c>
      <c r="C9" s="6" t="n">
        <v>12727177</v>
      </c>
      <c r="D9" s="6" t="n">
        <v>9492914</v>
      </c>
      <c r="E9" s="6" t="n">
        <v>137126</v>
      </c>
      <c r="F9" s="6" t="n">
        <v>12864303</v>
      </c>
      <c r="G9" s="6">
        <f>F9/B9</f>
        <v/>
      </c>
    </row>
    <row r="10">
      <c r="A10" s="16" t="inlineStr">
        <is>
          <t>Dpto. Recursos Humanos</t>
        </is>
      </c>
      <c r="B10" s="7" t="n">
        <v>2</v>
      </c>
      <c r="C10" s="9" t="n">
        <v>10595984</v>
      </c>
      <c r="D10" s="9" t="n">
        <v>8504961</v>
      </c>
      <c r="E10" s="9" t="n">
        <v>327741</v>
      </c>
      <c r="F10" s="9" t="n">
        <v>10923725</v>
      </c>
      <c r="G10" s="9">
        <f>F10/B10</f>
        <v/>
      </c>
    </row>
    <row r="11">
      <c r="A11" s="15" t="inlineStr">
        <is>
          <t>Dpto. Estudios</t>
        </is>
      </c>
      <c r="B11" s="4" t="n">
        <v>2</v>
      </c>
      <c r="C11" s="6" t="n">
        <v>8980780</v>
      </c>
      <c r="D11" s="6" t="n">
        <v>7242105</v>
      </c>
      <c r="E11" s="6" t="n">
        <v>340531</v>
      </c>
      <c r="F11" s="6" t="n">
        <v>9321311</v>
      </c>
      <c r="G11" s="6">
        <f>F11/B11</f>
        <v/>
      </c>
    </row>
    <row r="12">
      <c r="A12" s="16" t="inlineStr">
        <is>
          <t>Dpto. Contab. Y Fin</t>
        </is>
      </c>
      <c r="B12" s="7" t="n">
        <v>2</v>
      </c>
      <c r="C12" s="9" t="n">
        <v>7312992</v>
      </c>
      <c r="D12" s="9" t="n">
        <v>6059702</v>
      </c>
      <c r="E12" s="9" t="n">
        <v>313166</v>
      </c>
      <c r="F12" s="9" t="n">
        <v>7626158</v>
      </c>
      <c r="G12" s="9">
        <f>F12/B12</f>
        <v/>
      </c>
    </row>
    <row r="13">
      <c r="A13" s="15" t="inlineStr">
        <is>
          <t>Dpto.  Sustentabilid</t>
        </is>
      </c>
      <c r="B13" s="4" t="n">
        <v>1</v>
      </c>
      <c r="C13" s="6" t="n">
        <v>5710354</v>
      </c>
      <c r="D13" s="6" t="n">
        <v>4546657</v>
      </c>
      <c r="E13" s="6" t="n">
        <v>224975</v>
      </c>
      <c r="F13" s="6" t="n">
        <v>5935329</v>
      </c>
      <c r="G13" s="6">
        <f>F13/B13</f>
        <v/>
      </c>
    </row>
    <row r="14">
      <c r="A14" s="16" t="inlineStr">
        <is>
          <t>Oficina Antofagasta</t>
        </is>
      </c>
      <c r="B14" s="7" t="n">
        <v>3</v>
      </c>
      <c r="C14" s="9" t="n">
        <v>5589503</v>
      </c>
      <c r="D14" s="9" t="n">
        <v>4550116</v>
      </c>
      <c r="E14" s="9" t="n">
        <v>276680</v>
      </c>
      <c r="F14" s="9" t="n">
        <v>5866183</v>
      </c>
      <c r="G14" s="9">
        <f>F14/B14</f>
        <v/>
      </c>
    </row>
    <row r="15">
      <c r="A15" s="15" t="inlineStr">
        <is>
          <t>Dpto. Abastecimiento</t>
        </is>
      </c>
      <c r="B15" s="4" t="n">
        <v>1</v>
      </c>
      <c r="C15" s="6" t="n">
        <v>3090344</v>
      </c>
      <c r="D15" s="6" t="n">
        <v>2549443</v>
      </c>
      <c r="E15" s="6" t="n">
        <v>152972</v>
      </c>
      <c r="F15" s="6" t="n">
        <v>3243316</v>
      </c>
      <c r="G15" s="6">
        <f>F15/B15</f>
        <v/>
      </c>
    </row>
    <row r="16">
      <c r="A16" s="16" t="inlineStr">
        <is>
          <t>Dpto. Mant.</t>
        </is>
      </c>
      <c r="B16" s="7" t="n">
        <v>1</v>
      </c>
      <c r="C16" s="9" t="n">
        <v>2418685</v>
      </c>
      <c r="D16" s="9" t="n">
        <v>2155181</v>
      </c>
      <c r="E16" s="9" t="n">
        <v>119725</v>
      </c>
      <c r="F16" s="9" t="n">
        <v>2538410</v>
      </c>
      <c r="G16" s="9">
        <f>F16/B16</f>
        <v/>
      </c>
    </row>
    <row r="17">
      <c r="A17" s="17" t="inlineStr">
        <is>
          <t>TOTAL GENERAL</t>
        </is>
      </c>
      <c r="B17" s="12">
        <f>SUM(B5:B16)</f>
        <v/>
      </c>
      <c r="C17" s="13">
        <f>SUM(C5:C16)</f>
        <v/>
      </c>
      <c r="D17" s="13">
        <f>SUM(D5:D16)</f>
        <v/>
      </c>
      <c r="E17" s="13">
        <f>SUM(E5:E16)</f>
        <v/>
      </c>
      <c r="F17" s="13">
        <f>SUM(F5:F16)</f>
        <v/>
      </c>
      <c r="G17" s="13">
        <f>F17/B17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Evolución Mensual del Gasto en Remuneraciones</t>
        </is>
      </c>
    </row>
    <row r="2">
      <c r="A2" s="2" t="inlineStr">
        <is>
          <t>Comparativa cronológica de dotación, base imponible, sueldo líquido y costo empresa</t>
        </is>
      </c>
    </row>
    <row r="3"/>
    <row r="4">
      <c r="A4" s="18" t="inlineStr">
        <is>
          <t>Periodo</t>
        </is>
      </c>
      <c r="B4" s="18" t="inlineStr">
        <is>
          <t>Dotación (N°)</t>
        </is>
      </c>
      <c r="C4" s="18" t="inlineStr">
        <is>
          <t>Total Imponible</t>
        </is>
      </c>
      <c r="D4" s="18" t="inlineStr">
        <is>
          <t>Total Líquido Pago</t>
        </is>
      </c>
      <c r="E4" s="18" t="inlineStr">
        <is>
          <t>Total Costo Empresa</t>
        </is>
      </c>
      <c r="F4" s="18" t="inlineStr">
        <is>
          <t>Tasa de Cuadratura Rex+</t>
        </is>
      </c>
    </row>
    <row r="5">
      <c r="A5" s="4" t="inlineStr">
        <is>
          <t>2026-01</t>
        </is>
      </c>
      <c r="B5" s="4" t="n">
        <v>233</v>
      </c>
      <c r="C5" s="6" t="n">
        <v>449640855</v>
      </c>
      <c r="D5" s="6" t="n">
        <v>387647059</v>
      </c>
      <c r="E5" s="6" t="n">
        <v>470678020</v>
      </c>
      <c r="F5" s="19" t="n">
        <v>0.8540772532188842</v>
      </c>
    </row>
    <row r="6">
      <c r="A6" s="7" t="inlineStr">
        <is>
          <t>2026-02</t>
        </is>
      </c>
      <c r="B6" s="7" t="n">
        <v>227</v>
      </c>
      <c r="C6" s="9" t="n">
        <v>462704908</v>
      </c>
      <c r="D6" s="9" t="n">
        <v>377265223</v>
      </c>
      <c r="E6" s="9" t="n">
        <v>484636407</v>
      </c>
      <c r="F6" s="20" t="n">
        <v>0.986784140969163</v>
      </c>
    </row>
    <row r="7">
      <c r="A7" s="4" t="inlineStr">
        <is>
          <t>2026-03</t>
        </is>
      </c>
      <c r="B7" s="4" t="n">
        <v>253</v>
      </c>
      <c r="C7" s="6" t="n">
        <v>463121596</v>
      </c>
      <c r="D7" s="6" t="n">
        <v>409057778</v>
      </c>
      <c r="E7" s="6" t="n">
        <v>485404100</v>
      </c>
      <c r="F7" s="19" t="n">
        <v>0.9644268774703557</v>
      </c>
    </row>
    <row r="8">
      <c r="A8" s="7" t="inlineStr">
        <is>
          <t>2026-04</t>
        </is>
      </c>
      <c r="B8" s="7" t="n">
        <v>204</v>
      </c>
      <c r="C8" s="9" t="n">
        <v>468424453</v>
      </c>
      <c r="D8" s="9" t="n">
        <v>395871915</v>
      </c>
      <c r="E8" s="9" t="n">
        <v>491233028</v>
      </c>
      <c r="F8" s="20" t="n">
        <v>0.9117647058823529</v>
      </c>
    </row>
    <row r="9">
      <c r="A9" s="4" t="inlineStr">
        <is>
          <t>2026-05</t>
        </is>
      </c>
      <c r="B9" s="4" t="n">
        <v>142</v>
      </c>
      <c r="C9" s="6" t="n">
        <v>275198916</v>
      </c>
      <c r="D9" s="6" t="n">
        <v>221045953</v>
      </c>
      <c r="E9" s="6" t="n">
        <v>287877585</v>
      </c>
      <c r="F9" s="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2026-05-25T19:31:55Z</dcterms:created>
  <dcterms:modified xmlns:dcterms="http://purl.org/dc/terms/" xmlns:xsi="http://www.w3.org/2001/XMLSchema-instance" xsi:type="dcterms:W3CDTF">2026-05-25T19:31:55Z</dcterms:modified>
</cp:coreProperties>
</file>